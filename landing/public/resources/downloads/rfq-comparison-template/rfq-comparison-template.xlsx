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Instructions" state="visible" r:id="rId5"/>
    <sheet sheetId="3" name="Weighted Formula Example" state="visible" r:id="rId6"/>
  </sheets>
  <definedNames>
    <definedName name="_xlnm.Print_Titles" localSheetId="0">'Comparison'!$1:$3</definedName>
  </definedNames>
  <calcPr calcId="171027"/>
</workbook>
</file>

<file path=xl/sharedStrings.xml><?xml version="1.0" encoding="utf-8"?>
<sst xmlns="http://schemas.openxmlformats.org/spreadsheetml/2006/main" count="143" uniqueCount="124">
  <si>
    <r>
      <rPr>
        <b/>
        <color rgb="FFFFFFFF"/>
        <sz val="16"/>
        <rFont val="Calibri"/>
      </rPr>
      <t xml:space="preserve">PROCUREA  </t>
    </r>
    <r>
      <rPr>
        <color rgb="FFFFFFFF"/>
        <sz val="14"/>
        <rFont val="Calibri"/>
      </rPr>
      <t>·  RFQ Comparison Template</t>
    </r>
  </si>
  <si>
    <t>Compare up to 20 supplier quotes side-by-side. Score 1-5 per dimension, weights auto-apply. Change any number and the weighted score recalculates.</t>
  </si>
  <si>
    <t>Supplier</t>
  </si>
  <si>
    <t>Country</t>
  </si>
  <si>
    <t>Unit Price (EUR)</t>
  </si>
  <si>
    <t>MOQ (units)</t>
  </si>
  <si>
    <t>Lead Time (days)</t>
  </si>
  <si>
    <t>Payment Terms</t>
  </si>
  <si>
    <t>Certifications</t>
  </si>
  <si>
    <t>Score: Price (1-5)</t>
  </si>
  <si>
    <t>Score: Quality (1-5)</t>
  </si>
  <si>
    <t>Score: Lead Time (1-5)</t>
  </si>
  <si>
    <t>Score: Terms (1-5)</t>
  </si>
  <si>
    <t>Weighted Score</t>
  </si>
  <si>
    <t>Nordweld Precision Sp. z o.o.</t>
  </si>
  <si>
    <t>Poland</t>
  </si>
  <si>
    <t>Net 45</t>
  </si>
  <si>
    <t>ISO 9001:2015, IATF 16949</t>
  </si>
  <si>
    <t>Burç Metal Makina A.S.</t>
  </si>
  <si>
    <t>Turkey</t>
  </si>
  <si>
    <t>Net 30 (10% deposit)</t>
  </si>
  <si>
    <t>ISO 9001:2015, ISO 14001</t>
  </si>
  <si>
    <t>Shenzhen Huagong Metal Ltd.</t>
  </si>
  <si>
    <t>China</t>
  </si>
  <si>
    <t>T/T 30/70</t>
  </si>
  <si>
    <t>ISO 9001:2015</t>
  </si>
  <si>
    <t>Criteria Weights  ·  must sum to 100  ·  edit cells H17:K17 to recalculate all weighted scores</t>
  </si>
  <si>
    <t>Weight →</t>
  </si>
  <si>
    <t>Price %</t>
  </si>
  <si>
    <t>Quality %</t>
  </si>
  <si>
    <t>Lead Time %</t>
  </si>
  <si>
    <t>Terms %</t>
  </si>
  <si>
    <t>Sum</t>
  </si>
  <si>
    <t>Current →</t>
  </si>
  <si>
    <t>Weight presets by category archetype</t>
  </si>
  <si>
    <t>Category archetype</t>
  </si>
  <si>
    <t>Commodity / standardized parts</t>
  </si>
  <si>
    <t>Strategic / custom parts</t>
  </si>
  <si>
    <t>Regulated (medical, aerospace, food)</t>
  </si>
  <si>
    <t>Services (engineering, consulting)</t>
  </si>
  <si>
    <r>
      <rPr>
        <b/>
        <color rgb="FFFFFFFF"/>
        <sz val="16"/>
        <rFont val="Calibri"/>
      </rPr>
      <t xml:space="preserve">PROCUREA  </t>
    </r>
    <r>
      <rPr>
        <color rgb="FFFFFFFF"/>
        <sz val="14"/>
        <rFont val="Calibri"/>
      </rPr>
      <t>·  How to use this template</t>
    </r>
  </si>
  <si>
    <t>Quick start (4 steps)</t>
  </si>
  <si>
    <t>1.</t>
  </si>
  <si>
    <t>Fill supplier details</t>
  </si>
  <si>
    <t>In the "Comparison" tab, replace the 3 sample rows with your real suppliers. Add more rows if needed — the weighted score formula covers rows 4-13 by default.</t>
  </si>
  <si>
    <t>2.</t>
  </si>
  <si>
    <t>Enter quote data</t>
  </si>
  <si>
    <t>Unit Price (EUR, normalized from TRY/CNY if needed), MOQ in units, Lead Time in days, Payment Terms, Certifications.</t>
  </si>
  <si>
    <t>3.</t>
  </si>
  <si>
    <t>Score each supplier 1-5</t>
  </si>
  <si>
    <t>Across four dimensions: Price, Quality, Lead Time, Terms. Use the rubric below — a 3 is "acceptable", a 5 is "clearly best-in-class", a 1 is "would exclude if not mandatory".</t>
  </si>
  <si>
    <t>4.</t>
  </si>
  <si>
    <t>Adjust weights if needed</t>
  </si>
  <si>
    <t>Default weights are Price 40 / Quality 25 / Lead Time 20 / Terms 15. Edit cells H17:K17 on the Comparison tab. All weighted scores recalculate instantly.</t>
  </si>
  <si>
    <t>Field definitions</t>
  </si>
  <si>
    <t>Supplier Name</t>
  </si>
  <si>
    <t>Legal entity name as it appears on the quote — not the trading name. The legal entity is what you will contract with.</t>
  </si>
  <si>
    <t>Country of production, not country of the sales office. A "German supplier" with production in Turkey inherits Turkey's lead time and CBAM exposure.</t>
  </si>
  <si>
    <t>Normalize every quote to a single currency before scoring. If the quote is in TRY or CNY, use the spot rate on the quote date. Build in a 3-5% FX buffer.</t>
  </si>
  <si>
    <t>Minimum Order Quantity in units — not in EUR. A €40,000 MOQ at €2/unit is 20,000 units, often unusable even if the unit price looks attractive.</t>
  </si>
  <si>
    <t>From PO confirmation to FCA/FOB at the named port. Not door-to-door. Do not compare EXW China to DDP Poland lead times directly.</t>
  </si>
  <si>
    <t>Net 30, Net 45, Net 60, T/T 30/70, 50% deposit. Each has a cash-flow cost. Net 60 is ~0.66% effectively cheaper than Net 30 at 8% WACC.</t>
  </si>
  <si>
    <t>Name them explicitly. "Certified" is not a certification. ISO 9001:2015 has a certificate number, issuing body, and expiry date — request the PDF during qualification.</t>
  </si>
  <si>
    <t>Relative ranking among the suppliers compared. 5 = lowest defensible price. 1 = uncompetitive even after TCO adjustments.</t>
  </si>
  <si>
    <t>Combines certifications, defect history, references, audit status. See rubric below.</t>
  </si>
  <si>
    <t>Days plus reliability of commitment. A supplier quoting 30 days who historically ships in 45 gets a lower score than one quoting 42 who always ships on time.</t>
  </si>
  <si>
    <t>Payment terms flexibility, Incoterm accommodation, deposit requirements. 5 = Net 60+ with no deposit and flexible Incoterm. 1 = cash-on-PO with rigid EXW.</t>
  </si>
  <si>
    <t>Auto-calculated. Formula: SUMPRODUCT(scores, weights) / SUM(weights) × 20. Output is on a 0-100 scale. See the "Weighted Formula Example" tab.</t>
  </si>
  <si>
    <t>Scoring rubric (1-5)</t>
  </si>
  <si>
    <t>Score</t>
  </si>
  <si>
    <t>Quality anchor</t>
  </si>
  <si>
    <t>Lead Time anchor</t>
  </si>
  <si>
    <t>5</t>
  </si>
  <si>
    <t>Two+ relevant certs current; zero defects in last 100k units; audited in last 12 months; references confirmed.</t>
  </si>
  <si>
    <t>Commits to best-in-class lead time for the geography and has shipped on time ≥95% historically.</t>
  </si>
  <si>
    <t>4</t>
  </si>
  <si>
    <t>One relevant cert current; defect rate &lt;0.5%; audited within 24 months.</t>
  </si>
  <si>
    <t>Lead time competitive for geography; on-time ≥85%.</t>
  </si>
  <si>
    <t>3</t>
  </si>
  <si>
    <t>Baseline ISO 9001 only; defect rate 0.5-1.5%; no recent audit but self-assessment available.</t>
  </si>
  <si>
    <t>Lead time acceptable; on-time 70-85% or no data.</t>
  </si>
  <si>
    <t>2</t>
  </si>
  <si>
    <t>No relevant cert, or cert expired; defect rate 1.5-3%; no audit.</t>
  </si>
  <si>
    <t>Lead time longer than peers; on-time &lt;70%.</t>
  </si>
  <si>
    <t>1</t>
  </si>
  <si>
    <t>No certs; unknown defect rate; supplier refused audit or reference check.</t>
  </si>
  <si>
    <t>Lead time a dealbreaker for the use case.</t>
  </si>
  <si>
    <t>Audit defensibility (3 rules)</t>
  </si>
  <si>
    <t>Version-lock the weights before quotes arrive</t>
  </si>
  <si>
    <t>Save the workbook, email it to your category director timestamped. Adjusting weights after scores are visible is the fastest way to fail an audit.</t>
  </si>
  <si>
    <t>Score blind where possible</t>
  </si>
  <si>
    <t>Have two analysts score Quality and Lead Time independently. If scores differ by more than 1.5 points, discuss and recalibrate. Do not average blind.</t>
  </si>
  <si>
    <t>Keep the Notes on every award decision</t>
  </si>
  <si>
    <t>Audit wants to see the decision was considered, not just computed. A one-line rationale alongside the winning score is enough.</t>
  </si>
  <si>
    <t>This template is free to use and share. If you run 5+ RFQs per quarter and the comparison step still takes hours, Procurea automates the earlier stages — finding 100-250 verified suppliers to invite, with outreach in 26 languages — and pipes results into a comparison view like this one. See procurea.io/features/offer-comparison.</t>
  </si>
  <si>
    <t>By Procurea  ·  procurea.io  ·  © 2026</t>
  </si>
  <si>
    <r>
      <rPr>
        <b/>
        <color rgb="FFFFFFFF"/>
        <sz val="16"/>
        <rFont val="Calibri"/>
      </rPr>
      <t xml:space="preserve">PROCUREA  </t>
    </r>
    <r>
      <rPr>
        <color rgb="FFFFFFFF"/>
        <sz val="14"/>
        <rFont val="Calibri"/>
      </rPr>
      <t>·  Weighted score — worked example</t>
    </r>
  </si>
  <si>
    <t>We walk through the weighted score calculation for the Polish supplier (Nordweld Precision) to show exactly how the formula in the Comparison tab works. Edit any yellow cell below — the final score updates live.</t>
  </si>
  <si>
    <t>Step 1 — Inputs</t>
  </si>
  <si>
    <t>Dimension</t>
  </si>
  <si>
    <t>Score (1-5)</t>
  </si>
  <si>
    <t>Weight (%)</t>
  </si>
  <si>
    <t>Score × Weight</t>
  </si>
  <si>
    <t>Price</t>
  </si>
  <si>
    <t>Quality</t>
  </si>
  <si>
    <t>Lead Time</t>
  </si>
  <si>
    <t>Terms</t>
  </si>
  <si>
    <t>Totals</t>
  </si>
  <si>
    <t>Step 2 — Normalise to 0-100 scale</t>
  </si>
  <si>
    <t>Sum of (Score × Weight)</t>
  </si>
  <si>
    <t>= 120 + 125 + 100 + 60</t>
  </si>
  <si>
    <t>Divided by sum of weights</t>
  </si>
  <si>
    <t>Multiplied by 20 (scale to 100)</t>
  </si>
  <si>
    <t>Score on 0-100 scale (5 × 20 = max 100)</t>
  </si>
  <si>
    <r>
      <rPr>
        <b/>
        <color rgb="FFFFFFFF"/>
        <sz val="12"/>
        <rFont val="Calibri"/>
      </rPr>
      <t xml:space="preserve">FINAL WEIGHTED SCORE  </t>
    </r>
  </si>
  <si>
    <t>The compact formula (as used in column L of the Comparison tab)</t>
  </si>
  <si>
    <t>= SUMPRODUCT(H4:K4, $H$17:$K$17) / SUM($H$17:$K$17) × 20</t>
  </si>
  <si>
    <t>Interpreting the score</t>
  </si>
  <si>
    <t>80-100</t>
  </si>
  <si>
    <t>Shortlist — award candidates. Review TCO-adjusted price against #2 before final call.</t>
  </si>
  <si>
    <t>60-79</t>
  </si>
  <si>
    <t>Review — viable, but usually needs a specific reason to beat a shortlisted supplier (e.g. capacity, strategic diversification).</t>
  </si>
  <si>
    <t>Below 60</t>
  </si>
  <si>
    <t>Exclude unless there is a documented strategic justification (sole-source regulation, unique cert, geopolitical hedge).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</si>
</sst>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€&quot;#,##0.00"/>
    <numFmt numFmtId="165" formatCode="0.0"/>
    <numFmt numFmtId="166" formatCode="0.000"/>
  </numFmts>
  <fonts count="23" x14ac:knownFonts="1">
    <font>
      <color theme="1"/>
      <family val="2"/>
      <scheme val="minor"/>
      <sz val="11"/>
      <name val="Calibri"/>
    </font>
    <font>
      <i/>
      <color rgb="FF64748B"/>
      <sz val="10"/>
      <name val="Calibri"/>
    </font>
    <font>
      <b/>
      <color rgb="FFFFFFFF"/>
      <sz val="11"/>
      <name val="Calibri"/>
    </font>
    <font>
      <sz val="11"/>
      <name val="Calibri"/>
    </font>
    <font>
      <b/>
      <sz val="11"/>
      <name val="Calibri"/>
    </font>
    <font>
      <b/>
      <i/>
      <color rgb="FF64748B"/>
      <sz val="10"/>
    </font>
    <font>
      <b/>
      <color rgb="FFFFFFFF"/>
      <sz val="10"/>
      <name val="Calibri"/>
    </font>
    <font>
      <b/>
      <sz val="12"/>
      <name val="Calibri"/>
    </font>
    <font>
      <b/>
      <color rgb="FF3F6669"/>
      <sz val="12"/>
      <name val="Calibri"/>
    </font>
    <font>
      <b/>
      <color rgb="FF3F6669"/>
      <sz val="11"/>
      <name val="Calibri"/>
    </font>
    <font>
      <sz val="10"/>
      <name val="Calibri"/>
    </font>
    <font>
      <b/>
      <color rgb="FF3F6669"/>
      <sz val="14"/>
      <name val="Calibri"/>
    </font>
    <font>
      <b/>
      <color rgb="FF3F6669"/>
      <sz val="12"/>
    </font>
    <font>
      <b/>
      <sz val="11"/>
    </font>
    <font>
      <sz val="11"/>
    </font>
    <font>
      <b/>
      <color rgb="FF3F6669"/>
      <sz val="11"/>
    </font>
    <font>
      <b/>
      <color rgb="FFFFFFFF"/>
      <sz val="11"/>
    </font>
    <font>
      <b/>
      <color rgb="FF3F6669"/>
      <sz val="10"/>
      <name val="Calibri"/>
    </font>
    <font>
      <i/>
      <color rgb="FF64748B"/>
      <sz val="11"/>
    </font>
    <font>
      <b/>
      <color rgb="FF3F6669"/>
      <sz val="13"/>
    </font>
    <font>
      <i/>
      <color rgb="FF64748B"/>
      <sz val="10"/>
    </font>
    <font>
      <b/>
      <color rgb="FFFFFFFF"/>
      <sz val="20"/>
      <name val="Calibri"/>
    </font>
    <font>
      <color rgb="FF3F6669"/>
      <sz val="12"/>
      <name val="Consolas"/>
    </font>
  </fonts>
  <fills count="7">
    <fill>
      <patternFill patternType="none"/>
    </fill>
    <fill>
      <patternFill patternType="gray125"/>
    </fill>
    <fill>
      <patternFill patternType="solid">
        <fgColor rgb="FF3F6669"/>
      </patternFill>
    </fill>
    <fill>
      <patternFill patternType="solid">
        <fgColor rgb="FF5E8C8F"/>
      </patternFill>
    </fill>
    <fill>
      <patternFill patternType="solid">
        <fgColor rgb="FFF8FAFC"/>
      </patternFill>
    </fill>
    <fill>
      <patternFill patternType="solid">
        <fgColor rgb="FFFFF4C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 applyAlignment="1">
      <alignment horizontal="left" vertical="center" indent="1"/>
    </xf>
    <xf numFmtId="0" fontId="1" fillId="0" borderId="0" xfId="0" applyFont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" fontId="3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right" vertical="center"/>
    </xf>
    <xf numFmtId="1" fontId="3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indent="1"/>
    </xf>
    <xf numFmtId="0" fontId="5" fillId="0" borderId="0" xfId="0" applyFont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6" fillId="3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indent="1"/>
    </xf>
    <xf numFmtId="1" fontId="10" fillId="0" borderId="1" xfId="0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indent="1"/>
    </xf>
    <xf numFmtId="1" fontId="10" fillId="4" borderId="1" xfId="0" applyNumberFormat="1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right" vertical="top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6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 inden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4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 indent="1"/>
    </xf>
    <xf numFmtId="0" fontId="1" fillId="0" borderId="0" xfId="0" applyFont="1" applyAlignment="1">
      <alignment horizontal="left" vertical="top" wrapText="1" inden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top" wrapText="1" indent="1"/>
    </xf>
    <xf numFmtId="0" fontId="19" fillId="0" borderId="0" xfId="0" applyFont="1"/>
    <xf numFmtId="0" fontId="4" fillId="0" borderId="1" xfId="0" applyFont="1" applyBorder="1" applyAlignment="1">
      <alignment horizontal="left" vertical="center" indent="1"/>
    </xf>
    <xf numFmtId="1" fontId="3" fillId="5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indent="1"/>
    </xf>
    <xf numFmtId="0" fontId="15" fillId="4" borderId="1" xfId="0" applyFont="1" applyFill="1" applyBorder="1" applyAlignment="1">
      <alignment horizontal="left" vertical="center" indent="1"/>
    </xf>
    <xf numFmtId="0" fontId="15" fillId="4" borderId="1" xfId="0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indent="1"/>
    </xf>
    <xf numFmtId="0" fontId="20" fillId="0" borderId="1" xfId="0" applyFont="1" applyBorder="1" applyAlignment="1">
      <alignment horizontal="left" vertical="center" indent="1"/>
    </xf>
    <xf numFmtId="166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 indent="1"/>
    </xf>
    <xf numFmtId="165" fontId="21" fillId="3" borderId="1" xfId="0" applyNumberFormat="1" applyFont="1" applyFill="1" applyBorder="1" applyAlignment="1">
      <alignment horizontal="center" vertical="center"/>
    </xf>
    <xf numFmtId="0" fontId="12" fillId="0" borderId="0" xfId="0" applyFont="1"/>
    <xf numFmtId="0" fontId="22" fillId="6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E8C8F"/>
    <pageSetUpPr fitToPage="1"/>
  </sheetPr>
  <dimension ref="A1:L25"/>
  <sheetViews>
    <sheetView workbookViewId="0">
      <pane xSplit="1" ySplit="3" topLeftCell="B4" activePane="bottomRight" state="frozen"/>
      <selection pane="bottomRight"/>
    </sheetView>
  </sheetViews>
  <sheetFormatPr defaultRowHeight="20" outlineLevelRow="0" outlineLevelCol="0" x14ac:dyDescent="55" customHeight="1"/>
  <cols>
    <col min="1" max="1" width="28" customWidth="1"/>
    <col min="2" max="2" width="12" customWidth="1"/>
    <col min="3" max="3" width="14" customWidth="1"/>
    <col min="4" max="4" width="12" customWidth="1"/>
    <col min="5" max="5" width="14" customWidth="1"/>
    <col min="6" max="6" width="18" customWidth="1"/>
    <col min="7" max="7" width="24" customWidth="1"/>
    <col min="8" max="8" width="11" customWidth="1"/>
    <col min="9" max="10" width="12" customWidth="1"/>
    <col min="11" max="11" width="11" customWidth="1"/>
    <col min="12" max="12" width="16" customWidth="1"/>
  </cols>
  <sheetData>
    <row r="1" ht="4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6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8" customHeight="1" spans="1:12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ht="30" customHeight="1" spans="1:12" x14ac:dyDescent="0.25">
      <c r="A4" s="4" t="s">
        <v>14</v>
      </c>
      <c r="B4" s="5" t="s">
        <v>15</v>
      </c>
      <c r="C4" s="6">
        <v>12.4</v>
      </c>
      <c r="D4" s="7">
        <v>500</v>
      </c>
      <c r="E4" s="8">
        <v>21</v>
      </c>
      <c r="F4" s="4" t="s">
        <v>16</v>
      </c>
      <c r="G4" s="4" t="s">
        <v>17</v>
      </c>
      <c r="H4" s="8">
        <v>3</v>
      </c>
      <c r="I4" s="8">
        <v>5</v>
      </c>
      <c r="J4" s="8">
        <v>5</v>
      </c>
      <c r="K4" s="8">
        <v>4</v>
      </c>
      <c r="L4" s="9">
        <f>IFERROR(IF(SUM($H$17:$K$17)=0,"",ROUND(SUMPRODUCT(H4:K4,$H$17:$K$17)/SUM($H$17:$K$17)*20,1)),"")</f>
        <v>81</v>
      </c>
    </row>
    <row r="5" ht="30" customHeight="1" spans="1:12" x14ac:dyDescent="0.25">
      <c r="A5" s="10" t="s">
        <v>18</v>
      </c>
      <c r="B5" s="11" t="s">
        <v>19</v>
      </c>
      <c r="C5" s="12">
        <v>10.8</v>
      </c>
      <c r="D5" s="13">
        <v>1000</v>
      </c>
      <c r="E5" s="14">
        <v>28</v>
      </c>
      <c r="F5" s="10" t="s">
        <v>20</v>
      </c>
      <c r="G5" s="10" t="s">
        <v>21</v>
      </c>
      <c r="H5" s="14">
        <v>4</v>
      </c>
      <c r="I5" s="14">
        <v>4</v>
      </c>
      <c r="J5" s="14">
        <v>4</v>
      </c>
      <c r="K5" s="14">
        <v>3</v>
      </c>
      <c r="L5" s="15">
        <f>IFERROR(IF(SUM($H$17:$K$17)=0,"",ROUND(SUMPRODUCT(H5:K5,$H$17:$K$17)/SUM($H$17:$K$17)*20,1)),"")</f>
        <v>77</v>
      </c>
    </row>
    <row r="6" ht="30" customHeight="1" spans="1:12" x14ac:dyDescent="0.25">
      <c r="A6" s="4" t="s">
        <v>22</v>
      </c>
      <c r="B6" s="5" t="s">
        <v>23</v>
      </c>
      <c r="C6" s="6">
        <v>8.95</v>
      </c>
      <c r="D6" s="7">
        <v>2000</v>
      </c>
      <c r="E6" s="8">
        <v>56</v>
      </c>
      <c r="F6" s="4" t="s">
        <v>24</v>
      </c>
      <c r="G6" s="4" t="s">
        <v>25</v>
      </c>
      <c r="H6" s="8">
        <v>5</v>
      </c>
      <c r="I6" s="8">
        <v>3</v>
      </c>
      <c r="J6" s="8">
        <v>2</v>
      </c>
      <c r="K6" s="8">
        <v>2</v>
      </c>
      <c r="L6" s="9">
        <f>IFERROR(IF(SUM($H$17:$K$17)=0,"",ROUND(SUMPRODUCT(H6:K6,$H$17:$K$17)/SUM($H$17:$K$17)*20,1)),"")</f>
        <v>69</v>
      </c>
    </row>
    <row r="7" ht="30" customHeight="1" spans="1:12" x14ac:dyDescent="0.25">
      <c r="A7" s="10"/>
      <c r="B7" s="11"/>
      <c r="C7" s="12"/>
      <c r="D7" s="13"/>
      <c r="E7" s="14"/>
      <c r="F7" s="10"/>
      <c r="G7" s="10"/>
      <c r="H7" s="14"/>
      <c r="I7" s="14"/>
      <c r="J7" s="14"/>
      <c r="K7" s="14"/>
      <c r="L7" s="15" t="str">
        <f>IFERROR(IF(SUM($H$17:$K$17)=0,"",ROUND(SUMPRODUCT(H7:K7,$H$17:$K$17)/SUM($H$17:$K$17)*20,1)),"")</f>
        <v/>
      </c>
    </row>
    <row r="8" ht="30" customHeight="1" spans="1:12" x14ac:dyDescent="0.25">
      <c r="A8" s="4"/>
      <c r="B8" s="5"/>
      <c r="C8" s="6"/>
      <c r="D8" s="7"/>
      <c r="E8" s="8"/>
      <c r="F8" s="4"/>
      <c r="G8" s="4"/>
      <c r="H8" s="8"/>
      <c r="I8" s="8"/>
      <c r="J8" s="8"/>
      <c r="K8" s="8"/>
      <c r="L8" s="9" t="str">
        <f>IFERROR(IF(SUM($H$17:$K$17)=0,"",ROUND(SUMPRODUCT(H8:K8,$H$17:$K$17)/SUM($H$17:$K$17)*20,1)),"")</f>
        <v/>
      </c>
    </row>
    <row r="9" ht="30" customHeight="1" spans="1:12" x14ac:dyDescent="0.25">
      <c r="A9" s="10"/>
      <c r="B9" s="11"/>
      <c r="C9" s="12"/>
      <c r="D9" s="13"/>
      <c r="E9" s="14"/>
      <c r="F9" s="10"/>
      <c r="G9" s="10"/>
      <c r="H9" s="14"/>
      <c r="I9" s="14"/>
      <c r="J9" s="14"/>
      <c r="K9" s="14"/>
      <c r="L9" s="15" t="str">
        <f>IFERROR(IF(SUM($H$17:$K$17)=0,"",ROUND(SUMPRODUCT(H9:K9,$H$17:$K$17)/SUM($H$17:$K$17)*20,1)),"")</f>
        <v/>
      </c>
    </row>
    <row r="10" ht="30" customHeight="1" spans="1:12" x14ac:dyDescent="0.25">
      <c r="A10" s="4"/>
      <c r="B10" s="5"/>
      <c r="C10" s="6"/>
      <c r="D10" s="7"/>
      <c r="E10" s="8"/>
      <c r="F10" s="4"/>
      <c r="G10" s="4"/>
      <c r="H10" s="8"/>
      <c r="I10" s="8"/>
      <c r="J10" s="8"/>
      <c r="K10" s="8"/>
      <c r="L10" s="9" t="str">
        <f>IFERROR(IF(SUM($H$17:$K$17)=0,"",ROUND(SUMPRODUCT(H10:K10,$H$17:$K$17)/SUM($H$17:$K$17)*20,1)),"")</f>
        <v/>
      </c>
    </row>
    <row r="11" ht="30" customHeight="1" spans="1:12" x14ac:dyDescent="0.25">
      <c r="A11" s="10"/>
      <c r="B11" s="11"/>
      <c r="C11" s="12"/>
      <c r="D11" s="13"/>
      <c r="E11" s="14"/>
      <c r="F11" s="10"/>
      <c r="G11" s="10"/>
      <c r="H11" s="14"/>
      <c r="I11" s="14"/>
      <c r="J11" s="14"/>
      <c r="K11" s="14"/>
      <c r="L11" s="15" t="str">
        <f>IFERROR(IF(SUM($H$17:$K$17)=0,"",ROUND(SUMPRODUCT(H11:K11,$H$17:$K$17)/SUM($H$17:$K$17)*20,1)),"")</f>
        <v/>
      </c>
    </row>
    <row r="12" ht="30" customHeight="1" spans="1:12" x14ac:dyDescent="0.25">
      <c r="A12" s="4"/>
      <c r="B12" s="5"/>
      <c r="C12" s="6"/>
      <c r="D12" s="7"/>
      <c r="E12" s="8"/>
      <c r="F12" s="4"/>
      <c r="G12" s="4"/>
      <c r="H12" s="8"/>
      <c r="I12" s="8"/>
      <c r="J12" s="8"/>
      <c r="K12" s="8"/>
      <c r="L12" s="9" t="str">
        <f>IFERROR(IF(SUM($H$17:$K$17)=0,"",ROUND(SUMPRODUCT(H12:K12,$H$17:$K$17)/SUM($H$17:$K$17)*20,1)),"")</f>
        <v/>
      </c>
    </row>
    <row r="13" ht="30" customHeight="1" spans="1:12" x14ac:dyDescent="0.25">
      <c r="A13" s="10"/>
      <c r="B13" s="11"/>
      <c r="C13" s="12"/>
      <c r="D13" s="13"/>
      <c r="E13" s="14"/>
      <c r="F13" s="10"/>
      <c r="G13" s="10"/>
      <c r="H13" s="14"/>
      <c r="I13" s="14"/>
      <c r="J13" s="14"/>
      <c r="K13" s="14"/>
      <c r="L13" s="15" t="str">
        <f>IFERROR(IF(SUM($H$17:$K$17)=0,"",ROUND(SUMPRODUCT(H13:K13,$H$17:$K$17)/SUM($H$17:$K$17)*20,1)),"")</f>
        <v/>
      </c>
    </row>
    <row r="14" ht="10" customHeight="1" x14ac:dyDescent="0.25"/>
    <row r="15" ht="26" customHeight="1" spans="1:12" x14ac:dyDescent="0.25">
      <c r="A15" s="16" t="s">
        <v>26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ht="22" customHeight="1" spans="7:12" x14ac:dyDescent="0.25">
      <c r="G16" s="17" t="s">
        <v>27</v>
      </c>
      <c r="H16" s="18" t="s">
        <v>28</v>
      </c>
      <c r="I16" s="18" t="s">
        <v>29</v>
      </c>
      <c r="J16" s="18" t="s">
        <v>30</v>
      </c>
      <c r="K16" s="18" t="s">
        <v>31</v>
      </c>
      <c r="L16" s="18" t="s">
        <v>32</v>
      </c>
    </row>
    <row r="17" ht="26" customHeight="1" spans="7:12" x14ac:dyDescent="0.25">
      <c r="G17" s="17" t="s">
        <v>33</v>
      </c>
      <c r="H17" s="19">
        <v>40</v>
      </c>
      <c r="I17" s="19">
        <v>25</v>
      </c>
      <c r="J17" s="19">
        <v>20</v>
      </c>
      <c r="K17" s="19">
        <v>15</v>
      </c>
      <c r="L17" s="20">
        <f>SUM(H17:K17)</f>
        <v>100</v>
      </c>
    </row>
    <row r="18" ht="22" customHeight="1" spans="1:12" x14ac:dyDescent="0.25">
      <c r="A18" s="21" t="str">
        <f>IF(SUM(H17:K17)=100,"Weights OK — sum is 100","Warning: weights sum to " &amp; SUM(H17:K17) &amp; " — formulas still normalise, but document this before auditor review.")</f>
        <v>Weights OK — sum is 100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20" ht="22" customHeight="1" spans="1:12" x14ac:dyDescent="0.25">
      <c r="A20" s="22" t="s">
        <v>34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ht="22" customHeight="1" spans="1:11" x14ac:dyDescent="0.25">
      <c r="A21" s="23" t="s">
        <v>35</v>
      </c>
      <c r="B21" s="23"/>
      <c r="C21" s="23"/>
      <c r="D21" s="23"/>
      <c r="E21" s="23"/>
      <c r="F21" s="23"/>
      <c r="G21" s="23"/>
      <c r="H21" s="24" t="s">
        <v>28</v>
      </c>
      <c r="I21" s="24" t="s">
        <v>29</v>
      </c>
      <c r="J21" s="24" t="s">
        <v>30</v>
      </c>
      <c r="K21" s="24" t="s">
        <v>31</v>
      </c>
    </row>
    <row r="22" ht="22" customHeight="1" spans="1:11" x14ac:dyDescent="0.25">
      <c r="A22" s="25" t="s">
        <v>36</v>
      </c>
      <c r="B22" s="25"/>
      <c r="C22" s="25"/>
      <c r="D22" s="25"/>
      <c r="E22" s="25"/>
      <c r="F22" s="25"/>
      <c r="G22" s="25"/>
      <c r="H22" s="26">
        <v>50</v>
      </c>
      <c r="I22" s="26">
        <v>20</v>
      </c>
      <c r="J22" s="26">
        <v>20</v>
      </c>
      <c r="K22" s="26">
        <v>10</v>
      </c>
    </row>
    <row r="23" ht="22" customHeight="1" spans="1:11" x14ac:dyDescent="0.25">
      <c r="A23" s="27" t="s">
        <v>37</v>
      </c>
      <c r="B23" s="27"/>
      <c r="C23" s="27"/>
      <c r="D23" s="27"/>
      <c r="E23" s="27"/>
      <c r="F23" s="27"/>
      <c r="G23" s="27"/>
      <c r="H23" s="28">
        <v>25</v>
      </c>
      <c r="I23" s="28">
        <v>35</v>
      </c>
      <c r="J23" s="28">
        <v>20</v>
      </c>
      <c r="K23" s="28">
        <v>20</v>
      </c>
    </row>
    <row r="24" ht="22" customHeight="1" spans="1:11" x14ac:dyDescent="0.25">
      <c r="A24" s="25" t="s">
        <v>38</v>
      </c>
      <c r="B24" s="25"/>
      <c r="C24" s="25"/>
      <c r="D24" s="25"/>
      <c r="E24" s="25"/>
      <c r="F24" s="25"/>
      <c r="G24" s="25"/>
      <c r="H24" s="26">
        <v>20</v>
      </c>
      <c r="I24" s="26">
        <v>45</v>
      </c>
      <c r="J24" s="26">
        <v>20</v>
      </c>
      <c r="K24" s="26">
        <v>15</v>
      </c>
    </row>
    <row r="25" ht="22" customHeight="1" spans="1:11" x14ac:dyDescent="0.25">
      <c r="A25" s="27" t="s">
        <v>39</v>
      </c>
      <c r="B25" s="27"/>
      <c r="C25" s="27"/>
      <c r="D25" s="27"/>
      <c r="E25" s="27"/>
      <c r="F25" s="27"/>
      <c r="G25" s="27"/>
      <c r="H25" s="28">
        <v>30</v>
      </c>
      <c r="I25" s="28">
        <v>35</v>
      </c>
      <c r="J25" s="28">
        <v>15</v>
      </c>
      <c r="K25" s="28">
        <v>20</v>
      </c>
    </row>
  </sheetData>
  <mergeCells count="10">
    <mergeCell ref="A1:L1"/>
    <mergeCell ref="A2:L2"/>
    <mergeCell ref="A15:L15"/>
    <mergeCell ref="A18:L18"/>
    <mergeCell ref="A20:L20"/>
    <mergeCell ref="A21:G21"/>
    <mergeCell ref="A22:G22"/>
    <mergeCell ref="A23:G23"/>
    <mergeCell ref="A24:G24"/>
    <mergeCell ref="A25:G25"/>
  </mergeCells>
  <conditionalFormatting sqref="L4:L13">
    <cfRule type="colorScale" priority="1">
      <colorScale>
        <cfvo type="num" val="40"/>
        <cfvo type="num" val="70"/>
        <cfvo type="num" val="100"/>
        <color rgb="FFEF4444"/>
        <color rgb="FFFBBF24"/>
        <color rgb="FF10B981"/>
      </colorScale>
    </cfRule>
  </conditionalFormatting>
  <dataValidations count="2">
    <dataValidation type="whole" allowBlank="1" showErrorMessage="1" errorTitle="Invalid score" error="Scores must be a whole number between 1 and 5." sqref="H10:K13">
      <formula1>1</formula1>
      <formula2>5</formula2>
    </dataValidation>
    <dataValidation type="whole" allowBlank="1" showErrorMessage="1" errorTitle="Invalid score" error="Scores must be a whole number between 1 and 5." sqref="H4:K13">
      <formula1>1</formula1>
      <formula2>5</formula2>
    </dataValidation>
  </dataValidations>
  <pageMargins left="0.5" right="0.5" top="0.6" bottom="0.6" header="0.3" footer="0.3"/>
  <pageSetup paperSize="9" orientation="landscape" horizontalDpi="4294967295" verticalDpi="4294967295" scale="100" fitToWidth="1" fitToHeight="0"/>
  <headerFooter>
    <oddFooter>&amp;L&amp;"Calibri,Italic"By Procurea · procurea.io&amp;R&amp;"Calibri,Italic"© 2026 ·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6669"/>
    <pageSetUpPr fitToPage="1"/>
  </sheetPr>
  <dimension ref="A1:C38"/>
  <sheetFormatPr defaultRowHeight="15" outlineLevelRow="0" outlineLevelCol="0" x14ac:dyDescent="55"/>
  <cols>
    <col min="1" max="1" width="4" customWidth="1"/>
    <col min="2" max="2" width="30" customWidth="1"/>
    <col min="3" max="3" width="80" customWidth="1"/>
  </cols>
  <sheetData>
    <row r="1" ht="42" customHeight="1" spans="1:3" x14ac:dyDescent="0.25">
      <c r="A1" s="1" t="s">
        <v>40</v>
      </c>
      <c r="B1" s="1"/>
      <c r="C1" s="1"/>
    </row>
    <row r="3" ht="26" customHeight="1" spans="1:3" x14ac:dyDescent="0.25">
      <c r="A3" s="29" t="s">
        <v>41</v>
      </c>
      <c r="B3" s="29"/>
      <c r="C3" s="29"/>
    </row>
    <row r="4" ht="48" customHeight="1" spans="1:3" x14ac:dyDescent="0.25">
      <c r="A4" s="30" t="s">
        <v>42</v>
      </c>
      <c r="B4" s="31" t="s">
        <v>43</v>
      </c>
      <c r="C4" s="32" t="s">
        <v>44</v>
      </c>
    </row>
    <row r="5" ht="48" customHeight="1" spans="1:3" x14ac:dyDescent="0.25">
      <c r="A5" s="30" t="s">
        <v>45</v>
      </c>
      <c r="B5" s="31" t="s">
        <v>46</v>
      </c>
      <c r="C5" s="32" t="s">
        <v>47</v>
      </c>
    </row>
    <row r="6" ht="48" customHeight="1" spans="1:3" x14ac:dyDescent="0.25">
      <c r="A6" s="30" t="s">
        <v>48</v>
      </c>
      <c r="B6" s="31" t="s">
        <v>49</v>
      </c>
      <c r="C6" s="32" t="s">
        <v>50</v>
      </c>
    </row>
    <row r="7" ht="48" customHeight="1" spans="1:3" x14ac:dyDescent="0.25">
      <c r="A7" s="30" t="s">
        <v>51</v>
      </c>
      <c r="B7" s="31" t="s">
        <v>52</v>
      </c>
      <c r="C7" s="32" t="s">
        <v>53</v>
      </c>
    </row>
    <row r="9" ht="26" customHeight="1" spans="1:3" x14ac:dyDescent="0.25">
      <c r="A9" s="29" t="s">
        <v>54</v>
      </c>
      <c r="B9" s="29"/>
      <c r="C9" s="29"/>
    </row>
    <row r="10" ht="42" customHeight="1" spans="2:3" x14ac:dyDescent="0.25">
      <c r="B10" s="33" t="s">
        <v>55</v>
      </c>
      <c r="C10" s="32" t="s">
        <v>56</v>
      </c>
    </row>
    <row r="11" ht="42" customHeight="1" spans="2:3" x14ac:dyDescent="0.25">
      <c r="B11" s="33" t="s">
        <v>3</v>
      </c>
      <c r="C11" s="32" t="s">
        <v>57</v>
      </c>
    </row>
    <row r="12" ht="42" customHeight="1" spans="2:3" x14ac:dyDescent="0.25">
      <c r="B12" s="33" t="s">
        <v>4</v>
      </c>
      <c r="C12" s="32" t="s">
        <v>58</v>
      </c>
    </row>
    <row r="13" ht="42" customHeight="1" spans="2:3" x14ac:dyDescent="0.25">
      <c r="B13" s="33" t="s">
        <v>5</v>
      </c>
      <c r="C13" s="32" t="s">
        <v>59</v>
      </c>
    </row>
    <row r="14" ht="42" customHeight="1" spans="2:3" x14ac:dyDescent="0.25">
      <c r="B14" s="33" t="s">
        <v>6</v>
      </c>
      <c r="C14" s="32" t="s">
        <v>60</v>
      </c>
    </row>
    <row r="15" ht="42" customHeight="1" spans="2:3" x14ac:dyDescent="0.25">
      <c r="B15" s="33" t="s">
        <v>7</v>
      </c>
      <c r="C15" s="32" t="s">
        <v>61</v>
      </c>
    </row>
    <row r="16" ht="42" customHeight="1" spans="2:3" x14ac:dyDescent="0.25">
      <c r="B16" s="33" t="s">
        <v>8</v>
      </c>
      <c r="C16" s="32" t="s">
        <v>62</v>
      </c>
    </row>
    <row r="17" ht="42" customHeight="1" spans="2:3" x14ac:dyDescent="0.25">
      <c r="B17" s="33" t="s">
        <v>9</v>
      </c>
      <c r="C17" s="32" t="s">
        <v>63</v>
      </c>
    </row>
    <row r="18" ht="42" customHeight="1" spans="2:3" x14ac:dyDescent="0.25">
      <c r="B18" s="33" t="s">
        <v>10</v>
      </c>
      <c r="C18" s="32" t="s">
        <v>64</v>
      </c>
    </row>
    <row r="19" ht="42" customHeight="1" spans="2:3" x14ac:dyDescent="0.25">
      <c r="B19" s="33" t="s">
        <v>11</v>
      </c>
      <c r="C19" s="32" t="s">
        <v>65</v>
      </c>
    </row>
    <row r="20" ht="42" customHeight="1" spans="2:3" x14ac:dyDescent="0.25">
      <c r="B20" s="33" t="s">
        <v>12</v>
      </c>
      <c r="C20" s="32" t="s">
        <v>66</v>
      </c>
    </row>
    <row r="21" ht="42" customHeight="1" spans="2:3" x14ac:dyDescent="0.25">
      <c r="B21" s="33" t="s">
        <v>13</v>
      </c>
      <c r="C21" s="32" t="s">
        <v>67</v>
      </c>
    </row>
    <row r="23" ht="26" customHeight="1" spans="1:3" x14ac:dyDescent="0.25">
      <c r="A23" s="29" t="s">
        <v>68</v>
      </c>
      <c r="B23" s="29"/>
      <c r="C23" s="29"/>
    </row>
    <row r="24" ht="22" customHeight="1" spans="1:3" x14ac:dyDescent="0.25">
      <c r="A24" s="34" t="s">
        <v>69</v>
      </c>
      <c r="B24" s="35" t="s">
        <v>70</v>
      </c>
      <c r="C24" s="35" t="s">
        <v>71</v>
      </c>
    </row>
    <row r="25" ht="50" customHeight="1" spans="1:3" x14ac:dyDescent="0.25">
      <c r="A25" s="36" t="s">
        <v>72</v>
      </c>
      <c r="B25" s="37" t="s">
        <v>73</v>
      </c>
      <c r="C25" s="37" t="s">
        <v>74</v>
      </c>
    </row>
    <row r="26" ht="50" customHeight="1" spans="1:3" x14ac:dyDescent="0.25">
      <c r="A26" s="38" t="s">
        <v>75</v>
      </c>
      <c r="B26" s="39" t="s">
        <v>76</v>
      </c>
      <c r="C26" s="39" t="s">
        <v>77</v>
      </c>
    </row>
    <row r="27" ht="50" customHeight="1" spans="1:3" x14ac:dyDescent="0.25">
      <c r="A27" s="36" t="s">
        <v>78</v>
      </c>
      <c r="B27" s="37" t="s">
        <v>79</v>
      </c>
      <c r="C27" s="37" t="s">
        <v>80</v>
      </c>
    </row>
    <row r="28" ht="50" customHeight="1" spans="1:3" x14ac:dyDescent="0.25">
      <c r="A28" s="38" t="s">
        <v>81</v>
      </c>
      <c r="B28" s="39" t="s">
        <v>82</v>
      </c>
      <c r="C28" s="39" t="s">
        <v>83</v>
      </c>
    </row>
    <row r="29" ht="50" customHeight="1" spans="1:3" x14ac:dyDescent="0.25">
      <c r="A29" s="36" t="s">
        <v>84</v>
      </c>
      <c r="B29" s="37" t="s">
        <v>85</v>
      </c>
      <c r="C29" s="37" t="s">
        <v>86</v>
      </c>
    </row>
    <row r="31" ht="26" customHeight="1" spans="1:3" x14ac:dyDescent="0.25">
      <c r="A31" s="29" t="s">
        <v>87</v>
      </c>
      <c r="B31" s="29"/>
      <c r="C31" s="29"/>
    </row>
    <row r="32" ht="42" customHeight="1" spans="1:3" x14ac:dyDescent="0.25">
      <c r="A32" s="30" t="s">
        <v>42</v>
      </c>
      <c r="B32" s="31" t="s">
        <v>88</v>
      </c>
      <c r="C32" s="32" t="s">
        <v>89</v>
      </c>
    </row>
    <row r="33" ht="42" customHeight="1" spans="1:3" x14ac:dyDescent="0.25">
      <c r="A33" s="30" t="s">
        <v>45</v>
      </c>
      <c r="B33" s="31" t="s">
        <v>90</v>
      </c>
      <c r="C33" s="32" t="s">
        <v>91</v>
      </c>
    </row>
    <row r="34" ht="42" customHeight="1" spans="1:3" x14ac:dyDescent="0.25">
      <c r="A34" s="30" t="s">
        <v>48</v>
      </c>
      <c r="B34" s="31" t="s">
        <v>92</v>
      </c>
      <c r="C34" s="32" t="s">
        <v>93</v>
      </c>
    </row>
    <row r="37" ht="70" customHeight="1" spans="1:3" x14ac:dyDescent="0.25">
      <c r="A37" s="40" t="s">
        <v>94</v>
      </c>
      <c r="B37" s="40"/>
      <c r="C37" s="40"/>
    </row>
    <row r="38" ht="26" customHeight="1" spans="1:3" x14ac:dyDescent="0.25">
      <c r="A38" s="41" t="s">
        <v>95</v>
      </c>
      <c r="B38" s="41"/>
      <c r="C38" s="41"/>
    </row>
  </sheetData>
  <mergeCells count="7">
    <mergeCell ref="A1:C1"/>
    <mergeCell ref="A3:C3"/>
    <mergeCell ref="A9:C9"/>
    <mergeCell ref="A23:C23"/>
    <mergeCell ref="A31:C31"/>
    <mergeCell ref="A37:C37"/>
    <mergeCell ref="A38:C38"/>
  </mergeCells>
  <pageMargins left="0.6" right="0.6" top="0.6" bottom="0.6" header="0.3" footer="0.3"/>
  <pageSetup paperSize="9" orientation="portrait" horizontalDpi="4294967295" verticalDpi="4294967295" scale="100" fitToWidth="1" fitToHeight="0"/>
  <headerFooter>
    <oddFooter>&amp;L&amp;"Calibri,Italic"By Procurea · procurea.io&amp;R&amp;"Calibri,Italic"© 2026 ·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DD5D7"/>
    <pageSetUpPr fitToPage="1"/>
  </sheetPr>
  <dimension ref="A1:G29"/>
  <sheetFormatPr defaultRowHeight="15" outlineLevelRow="0" outlineLevelCol="0" x14ac:dyDescent="55"/>
  <cols>
    <col min="1" max="1" width="5" customWidth="1"/>
    <col min="2" max="2" width="30" customWidth="1"/>
    <col min="3" max="6" width="14" customWidth="1"/>
    <col min="7" max="7" width="16" customWidth="1"/>
  </cols>
  <sheetData>
    <row r="1" ht="42" customHeight="1" spans="1:7" x14ac:dyDescent="0.25">
      <c r="A1" s="1" t="s">
        <v>96</v>
      </c>
      <c r="B1" s="1"/>
      <c r="C1" s="1"/>
      <c r="D1" s="1"/>
      <c r="E1" s="1"/>
      <c r="F1" s="1"/>
      <c r="G1" s="1"/>
    </row>
    <row r="3" ht="44" customHeight="1" spans="1:7" x14ac:dyDescent="0.25">
      <c r="A3" s="42" t="s">
        <v>97</v>
      </c>
      <c r="B3" s="42"/>
      <c r="C3" s="42"/>
      <c r="D3" s="42"/>
      <c r="E3" s="42"/>
      <c r="F3" s="42"/>
      <c r="G3" s="42"/>
    </row>
    <row r="5" ht="24" customHeight="1" spans="1:7" x14ac:dyDescent="0.25">
      <c r="A5" s="43" t="s">
        <v>98</v>
      </c>
      <c r="B5" s="43"/>
      <c r="C5" s="43"/>
      <c r="D5" s="43"/>
      <c r="E5" s="43"/>
      <c r="F5" s="43"/>
      <c r="G5" s="43"/>
    </row>
    <row r="6" ht="24" customHeight="1" spans="2:5" x14ac:dyDescent="0.25">
      <c r="B6" s="35" t="s">
        <v>99</v>
      </c>
      <c r="C6" s="34" t="s">
        <v>100</v>
      </c>
      <c r="D6" s="34" t="s">
        <v>101</v>
      </c>
      <c r="E6" s="34" t="s">
        <v>102</v>
      </c>
    </row>
    <row r="7" ht="24" customHeight="1" spans="2:5" x14ac:dyDescent="0.25">
      <c r="B7" s="44" t="s">
        <v>103</v>
      </c>
      <c r="C7" s="45">
        <v>3</v>
      </c>
      <c r="D7" s="45">
        <v>40</v>
      </c>
      <c r="E7" s="8">
        <f>C7*D7</f>
        <v>120</v>
      </c>
    </row>
    <row r="8" ht="24" customHeight="1" spans="2:5" x14ac:dyDescent="0.25">
      <c r="B8" s="46" t="s">
        <v>104</v>
      </c>
      <c r="C8" s="45">
        <v>5</v>
      </c>
      <c r="D8" s="45">
        <v>25</v>
      </c>
      <c r="E8" s="14">
        <f>C8*D8</f>
        <v>125</v>
      </c>
    </row>
    <row r="9" ht="24" customHeight="1" spans="2:5" x14ac:dyDescent="0.25">
      <c r="B9" s="44" t="s">
        <v>105</v>
      </c>
      <c r="C9" s="45">
        <v>5</v>
      </c>
      <c r="D9" s="45">
        <v>20</v>
      </c>
      <c r="E9" s="8">
        <f>C9*D9</f>
        <v>100</v>
      </c>
    </row>
    <row r="10" ht="24" customHeight="1" spans="2:5" x14ac:dyDescent="0.25">
      <c r="B10" s="46" t="s">
        <v>106</v>
      </c>
      <c r="C10" s="45">
        <v>4</v>
      </c>
      <c r="D10" s="45">
        <v>15</v>
      </c>
      <c r="E10" s="14">
        <f>C10*D10</f>
        <v>60</v>
      </c>
    </row>
    <row r="11" spans="2:5" x14ac:dyDescent="0.25">
      <c r="B11" s="47" t="s">
        <v>107</v>
      </c>
      <c r="C11" s="48"/>
      <c r="D11" s="49">
        <f>SUM(D7:D10)</f>
        <v>100</v>
      </c>
      <c r="E11" s="49">
        <f>SUM(E7:E10)</f>
        <v>405</v>
      </c>
    </row>
    <row r="13" ht="24" customHeight="1" spans="1:7" x14ac:dyDescent="0.25">
      <c r="A13" s="43" t="s">
        <v>108</v>
      </c>
      <c r="B13" s="43"/>
      <c r="C13" s="43"/>
      <c r="D13" s="43"/>
      <c r="E13" s="43"/>
      <c r="F13" s="43"/>
      <c r="G13" s="43"/>
    </row>
    <row r="14" ht="24" customHeight="1" spans="2:4" x14ac:dyDescent="0.25">
      <c r="B14" s="50" t="s">
        <v>109</v>
      </c>
      <c r="C14" s="8">
        <f>E11</f>
        <v>405</v>
      </c>
      <c r="D14" s="51" t="s">
        <v>110</v>
      </c>
    </row>
    <row r="15" ht="24" customHeight="1" spans="2:4" x14ac:dyDescent="0.25">
      <c r="B15" s="50" t="s">
        <v>111</v>
      </c>
      <c r="C15" s="52">
        <f>C14/D11</f>
        <v>4.05</v>
      </c>
      <c r="D15" s="51" t="str">
        <f>"= " &amp; C14 &amp; " / " &amp; D11</f>
        <v>= 405 / 100</v>
      </c>
    </row>
    <row r="16" ht="24" customHeight="1" spans="2:4" x14ac:dyDescent="0.25">
      <c r="B16" s="50" t="s">
        <v>112</v>
      </c>
      <c r="C16" s="53">
        <f>C15*20</f>
        <v>81</v>
      </c>
      <c r="D16" s="51" t="s">
        <v>113</v>
      </c>
    </row>
    <row r="18" ht="42" customHeight="1" spans="2:5" x14ac:dyDescent="0.25">
      <c r="B18" s="54" t="s">
        <v>114</v>
      </c>
      <c r="C18" s="54"/>
      <c r="D18" s="54"/>
      <c r="E18" s="55">
        <f>ROUND(C16,1)</f>
        <v>81</v>
      </c>
    </row>
    <row r="20" ht="24" customHeight="1" spans="1:7" x14ac:dyDescent="0.25">
      <c r="A20" s="56" t="s">
        <v>115</v>
      </c>
      <c r="B20" s="56"/>
      <c r="C20" s="56"/>
      <c r="D20" s="56"/>
      <c r="E20" s="56"/>
      <c r="F20" s="56"/>
      <c r="G20" s="56"/>
    </row>
    <row r="21" ht="36" customHeight="1" spans="1:7" x14ac:dyDescent="0.25">
      <c r="A21" s="57" t="s">
        <v>116</v>
      </c>
      <c r="B21" s="57"/>
      <c r="C21" s="57"/>
      <c r="D21" s="57"/>
      <c r="E21" s="57"/>
      <c r="F21" s="57"/>
      <c r="G21" s="57"/>
    </row>
    <row r="23" ht="24" customHeight="1" spans="1:7" x14ac:dyDescent="0.25">
      <c r="A23" s="43" t="s">
        <v>117</v>
      </c>
      <c r="B23" s="43"/>
      <c r="C23" s="43"/>
      <c r="D23" s="43"/>
      <c r="E23" s="43"/>
      <c r="F23" s="43"/>
      <c r="G23" s="43"/>
    </row>
    <row r="24" ht="32" customHeight="1" spans="2:7" x14ac:dyDescent="0.25">
      <c r="B24" s="58" t="s">
        <v>118</v>
      </c>
      <c r="C24" s="4" t="s">
        <v>119</v>
      </c>
      <c r="D24" s="4"/>
      <c r="E24" s="4"/>
      <c r="F24" s="4"/>
      <c r="G24" s="4"/>
    </row>
    <row r="25" ht="32" customHeight="1" spans="2:7" x14ac:dyDescent="0.25">
      <c r="B25" s="59" t="s">
        <v>120</v>
      </c>
      <c r="C25" s="10" t="s">
        <v>121</v>
      </c>
      <c r="D25" s="10"/>
      <c r="E25" s="10"/>
      <c r="F25" s="10"/>
      <c r="G25" s="10"/>
    </row>
    <row r="26" ht="32" customHeight="1" spans="2:7" x14ac:dyDescent="0.25">
      <c r="B26" s="58" t="s">
        <v>122</v>
      </c>
      <c r="C26" s="4" t="s">
        <v>123</v>
      </c>
      <c r="D26" s="4"/>
      <c r="E26" s="4"/>
      <c r="F26" s="4"/>
      <c r="G26" s="4"/>
    </row>
    <row r="29" ht="26" customHeight="1" spans="1:7" x14ac:dyDescent="0.25">
      <c r="A29" s="41" t="s">
        <v>95</v>
      </c>
      <c r="B29" s="41"/>
      <c r="C29" s="41"/>
      <c r="D29" s="41"/>
      <c r="E29" s="41"/>
      <c r="F29" s="41"/>
      <c r="G29" s="41"/>
    </row>
  </sheetData>
  <mergeCells count="12">
    <mergeCell ref="A1:G1"/>
    <mergeCell ref="A3:G3"/>
    <mergeCell ref="A5:G5"/>
    <mergeCell ref="A13:G13"/>
    <mergeCell ref="B18:D18"/>
    <mergeCell ref="A20:G20"/>
    <mergeCell ref="A21:G21"/>
    <mergeCell ref="A23:G23"/>
    <mergeCell ref="C24:G24"/>
    <mergeCell ref="C25:G25"/>
    <mergeCell ref="C26:G26"/>
    <mergeCell ref="A29:G29"/>
  </mergeCells>
  <pageMargins left="0.6" right="0.6" top="0.6" bottom="0.6" header="0.3" footer="0.3"/>
  <pageSetup paperSize="9" orientation="portrait" horizontalDpi="4294967295" verticalDpi="4294967295" scale="100" fitToWidth="1" fitToHeight="0"/>
  <headerFooter>
    <oddFooter>&amp;L&amp;"Calibri,Italic"By Procurea · procurea.io&amp;R&amp;"Calibri,Italic"© 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Instructions</vt:lpstr>
      <vt:lpstr>Weighted Formula Example</vt:lpstr>
    </vt:vector>
  </TitlesOfParts>
  <Company>Procurea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Procurea</dc:creator>
  <dc:title>RFQ Comparison Template</dc:title>
  <dc:subject>Supplier quote comparison with weighted scoring</dc:subject>
  <dc:description>A working buyer template for comparing 2-20 supplier quotes side-by-side with a defensible weighted scoring model. By Procurea (procurea.io).</dc:description>
  <cp:keywords>rfq, supplier, comparison, procurement, scoring, vendor</cp:keywords>
  <cp:category/>
  <cp:lastModifiedBy>Unknown</cp:lastModifiedBy>
  <dcterms:created xsi:type="dcterms:W3CDTF">2026-04-18T00:00:00Z</dcterms:created>
  <dcterms:modified xsi:type="dcterms:W3CDTF">2026-04-18T00:00:00Z</dcterms:modified>
</cp:coreProperties>
</file>