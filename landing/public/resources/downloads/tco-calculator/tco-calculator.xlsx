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Categories" state="visible" r:id="rId4"/>
    <sheet sheetId="2" name="Comparison" state="visible" r:id="rId5"/>
    <sheet sheetId="3" name="Sensitivity" state="visible" r:id="rId6"/>
  </sheets>
  <definedNames>
    <definedName name="FX_rate">Sensitivity!$B$4</definedName>
    <definedName name="CBAM_per_tonne">Sensitivity!$B$5</definedName>
    <definedName name="Tariff_rate">Sensitivity!$B$6</definedName>
    <definedName name="WACC">Sensitivity!$B$7</definedName>
    <definedName name="China_UnitPrice">Comparison!$D$7</definedName>
    <definedName name="Turkey_UnitPrice">Comparison!$E$7</definedName>
    <definedName name="Poland_UnitPrice">Comparison!$F$7</definedName>
    <definedName name="China_Duties">Comparison!$D$9</definedName>
    <definedName name="Turkey_Duties">Comparison!$E$9</definedName>
    <definedName name="China_CBAM">Comparison!$D$10</definedName>
    <definedName name="Turkey_CBAM">Comparison!$E$10</definedName>
    <definedName name="China_Carrying">Comparison!$D$11</definedName>
    <definedName name="Turkey_Carrying">Comparison!$E$11</definedName>
    <definedName name="Poland_Carrying">Comparison!$F$11</definedName>
    <definedName name="China_Quality">Comparison!$D$12</definedName>
    <definedName name="Turkey_Quality">Comparison!$E$12</definedName>
    <definedName name="Poland_Quality">Comparison!$F$12</definedName>
    <definedName name="China_TCO">Comparison!$D$17</definedName>
    <definedName name="Turkey_TCO">Comparison!$E$17</definedName>
    <definedName name="Poland_TCO">Comparison!$F$17</definedName>
  </definedNames>
  <calcPr calcId="171027"/>
</workbook>
</file>

<file path=xl/sharedStrings.xml><?xml version="1.0" encoding="utf-8"?>
<sst xmlns="http://schemas.openxmlformats.org/spreadsheetml/2006/main" count="153" uniqueCount="122">
  <si>
    <t>PROCUREA  ·  TCO Calculator</t>
  </si>
  <si>
    <t>Beat the Lowest-Price Trap</t>
  </si>
  <si>
    <t>Total Cost of Ownership (TCO) reveals what a supplier really costs you — not just the unit price on the quote, but freight, duties, CBAM, carrying cost on extended lead times, quality failures, payment-terms drag, tooling amortisation, single-source risk premium and FX hedging. In ~60% of cross-border sourcing decisions the cheapest unit price is NOT the cheapest TCO. Use this workbook to quantify that gap. Edit yellow cells only — white cells are formulas.</t>
  </si>
  <si>
    <t>Maintained by Procurea (procurea.io). Published April 2026 — revised quarterly as assumptions (CBAM, WACC, carrying rates) evolve.</t>
  </si>
  <si>
    <t>Category</t>
  </si>
  <si>
    <t>Description</t>
  </si>
  <si>
    <t>Default Calculation Basis</t>
  </si>
  <si>
    <t>Example Value (EUR/unit)</t>
  </si>
  <si>
    <t>Typical % of TCO</t>
  </si>
  <si>
    <t>Unit Price</t>
  </si>
  <si>
    <t>Base price quoted by supplier per unit. Normalize all quotes to EUR using spot rate on quote date + FX buffer for volatile currencies.</t>
  </si>
  <si>
    <t>Direct from quote (normalized to EUR)</t>
  </si>
  <si>
    <t>Freight Inbound</t>
  </si>
  <si>
    <t>Cost to move goods from supplier FCA/FOB point to your receiving dock. Include demurrage allowance 2-4% for sea freight.</t>
  </si>
  <si>
    <t>Total shipping cost / units shipped</t>
  </si>
  <si>
    <t>Duties &amp; Tariffs</t>
  </si>
  <si>
    <t>Customs duties applied at country of entry (HTS/CN code). Verify with customs broker. Section 301 / anti-dumping adds significantly for covered categories.</t>
  </si>
  <si>
    <t>HTS rate × declared value</t>
  </si>
  <si>
    <t>CBAM Adjustment</t>
  </si>
  <si>
    <t>EU Carbon Border Adjustment Mechanism for imports of iron/steel, aluminium, cement, fertilisers, electricity, hydrogen from non-EU origin.</t>
  </si>
  <si>
    <t>Embedded CO2 × CBAM certificate price (€30-50/t CO2 in 2026)</t>
  </si>
  <si>
    <t>Inventory Carrying Cost</t>
  </si>
  <si>
    <t>Cost of holding inventory during extended lead time (capital + storage + insurance + obsolescence). 18-25% annual is typical.</t>
  </si>
  <si>
    <t>Unit price × carrying rate × (lead time days / 365)</t>
  </si>
  <si>
    <t>Defect / Quality Cost</t>
  </si>
  <si>
    <t>Cost of quality failures: rework, scrap, customer returns. Rework multiplier: 3× for reworkable, 10× for scrap, 30× for field-failure recall.</t>
  </si>
  <si>
    <t>(PPM / 1,000,000) × rework multiplier × unit price</t>
  </si>
  <si>
    <t>Payment Terms Cost</t>
  </si>
  <si>
    <t>Cost of capital implication when supplier terms differ from your target. Positive if you accept shorter terms than target.</t>
  </si>
  <si>
    <t>((Target terms − Actual terms) / 365) × unit price × WACC</t>
  </si>
  <si>
    <t>Switching / Tooling Amortization</t>
  </si>
  <si>
    <t>One-time cost of changing supplier spread over first-year volume. Set to 0 if tooling is already amortised with incumbent.</t>
  </si>
  <si>
    <t>(Tooling + audit + qualification labour) / first-year units</t>
  </si>
  <si>
    <t>Risk Premium (Single-Source)</t>
  </si>
  <si>
    <t>Implicit cost of no dual-source option. Ask: if this supplier failed next quarter, what is your 90-day fallback cost?</t>
  </si>
  <si>
    <t>Unit price × (0-5%) depending on single-source exposure</t>
  </si>
  <si>
    <t>Currency Hedging Cost</t>
  </si>
  <si>
    <t>Cost of forward contracts / options to lock FX rate. Standard practice: hedge 50-70% of exposure for non-EUR quotes over €250k.</t>
  </si>
  <si>
    <t>≈ 0.5-1.5% of contract value for 12-month hedge</t>
  </si>
  <si>
    <t>Total TCO per unit</t>
  </si>
  <si>
    <t>Sum of all categories above — the true cost you pay the supplier over the life of the commitment.</t>
  </si>
  <si>
    <t>= SUM(categories)</t>
  </si>
  <si>
    <t>How to use: Open the Comparison tab to compare up to 5 suppliers side-by-side. Edit yellow cells. Open the Sensitivity tab to stress-test the winner against FX shocks, tariffs, CBAM escalation, Red Sea disruption and quality cost hits.</t>
  </si>
  <si>
    <t>PROCUREA  ·  Supplier TCO Comparison</t>
  </si>
  <si>
    <t>Scenario: 50,000 units/year of a machined metal component. Yellow cells = editable inputs. White cells = read-only formulas.</t>
  </si>
  <si>
    <t>Input (edit)</t>
  </si>
  <si>
    <t>Formula</t>
  </si>
  <si>
    <t>Winner</t>
  </si>
  <si>
    <t>Cost Category</t>
  </si>
  <si>
    <t>Unit</t>
  </si>
  <si>
    <t>Ref.</t>
  </si>
  <si>
    <t xml:space="preserve">Supplier A
China</t>
  </si>
  <si>
    <t xml:space="preserve">Supplier B
Turkey</t>
  </si>
  <si>
    <t xml:space="preserve">Supplier C
Poland</t>
  </si>
  <si>
    <t xml:space="preserve">Supplier D
Portugal</t>
  </si>
  <si>
    <t xml:space="preserve">Supplier E
Romania</t>
  </si>
  <si>
    <t>EUR/unit</t>
  </si>
  <si>
    <t/>
  </si>
  <si>
    <t>TOTAL TCO per Unit</t>
  </si>
  <si>
    <t>Delta vs Unit Price (%)</t>
  </si>
  <si>
    <t>%</t>
  </si>
  <si>
    <t>Annual Demand (units)</t>
  </si>
  <si>
    <t>units</t>
  </si>
  <si>
    <t>Annual TCO (EUR)</t>
  </si>
  <si>
    <t>EUR/yr</t>
  </si>
  <si>
    <t>Lead Time (days)</t>
  </si>
  <si>
    <t>days</t>
  </si>
  <si>
    <t>Rank by TCO (1 = best)</t>
  </si>
  <si>
    <t>#</t>
  </si>
  <si>
    <t>Reading: Supplier A (China) wins on unit price by ~28% (€8.95 vs ~€11.85 avg for Europe), but loses on TCO to the runner-up by a thin margin. Any single 2026 stressor (Red Sea, USD +5%, CBAM escalation) flips the ranking. See the Sensitivity tab to test it. Rule of thumb: if your TCO winner only beats the runner-up by &lt;3%, the decision is FRAGILE — run Sensitivity before signing.</t>
  </si>
  <si>
    <t>PROCUREA  ·  Sensitivity Analysis</t>
  </si>
  <si>
    <t>Edit the yellow base-rate cells below — all scenarios recalculate. Scenarios multiply the stressor on top of Comparison tab values.</t>
  </si>
  <si>
    <t>Base rate</t>
  </si>
  <si>
    <t>Value</t>
  </si>
  <si>
    <t>Notes</t>
  </si>
  <si>
    <t>USD/EUR spot (affects China quote)</t>
  </si>
  <si>
    <t>Default: 1.08. Stress up (+5% / +10%) to see USD strengthening effect on China quote.</t>
  </si>
  <si>
    <t>CBAM certificate price €/tonne CO2</t>
  </si>
  <si>
    <t>Default: €60/t. 2026 forecast range €30-75/t. Applies to iron/steel imports from non-EU origin.</t>
  </si>
  <si>
    <t>Tariff rate on China origin (%)</t>
  </si>
  <si>
    <t>Default: 6% MFN. Stress +15% (Section 301 expansion) or +25% (punitive).</t>
  </si>
  <si>
    <t>Cost of capital (WACC)</t>
  </si>
  <si>
    <t>Default: 8%. Finance team typically uses 6-12%.</t>
  </si>
  <si>
    <t>Baseline TCOs (from Comparison tab)</t>
  </si>
  <si>
    <t>Baseline (no stress)</t>
  </si>
  <si>
    <t>Scenario</t>
  </si>
  <si>
    <t>FX shift</t>
  </si>
  <si>
    <t>Lead Δ (d)</t>
  </si>
  <si>
    <t>Tariff +</t>
  </si>
  <si>
    <t>CBAM ×</t>
  </si>
  <si>
    <t>China TCO</t>
  </si>
  <si>
    <t>Turkey TCO</t>
  </si>
  <si>
    <t>Poland TCO</t>
  </si>
  <si>
    <t>Note</t>
  </si>
  <si>
    <t>Baseline</t>
  </si>
  <si>
    <t>Baseline assumptions. Starting reference for all other scenarios.</t>
  </si>
  <si>
    <t>USD strengthens +5% (China)</t>
  </si>
  <si>
    <t>USD +5% makes China EUR-equivalent quote more expensive. Typical quarterly FX move.</t>
  </si>
  <si>
    <t>USD strengthens +10% (China)</t>
  </si>
  <si>
    <t>Decisive FX move — flips ranking if China had a slim TCO lead.</t>
  </si>
  <si>
    <t>TRY weakens -15% (Turkey wins)</t>
  </si>
  <si>
    <t>TRY volatility is structural. EUR-quoted Turkish suppliers often cut price 3-5% after local devaluation.</t>
  </si>
  <si>
    <t>Red Sea +14d (China lead time)</t>
  </si>
  <si>
    <t>Extended sea routing around Africa adds 14 days + carrying cost. Turkey remains 28d.</t>
  </si>
  <si>
    <t>Compound: Red Sea + USD +5%</t>
  </si>
  <si>
    <t>Two likely 2026 stressors stacked. Compound effects typically flip rankings decisively.</t>
  </si>
  <si>
    <t>Tariff shock +15% (Section 301 expansion)</t>
  </si>
  <si>
    <t>Hypothetical +15% tariff on China-origin for US buyers. Poland becomes defensible winner.</t>
  </si>
  <si>
    <t>Tariff shock +25% (punitive)</t>
  </si>
  <si>
    <t>Punitive tariff scenario. All non-EU options become uncompetitive.</t>
  </si>
  <si>
    <t>CBAM steps up to €75/tonne</t>
  </si>
  <si>
    <t>CBAM escalation from €60 → €75/t. Squeezes Chinese and Turkish steel imports equally.</t>
  </si>
  <si>
    <t>Freight spike +50% (China)</t>
  </si>
  <si>
    <t>Container rate spike — Q4 2024 levels. China FOB freight grows 50% while nearshore stays flat.</t>
  </si>
  <si>
    <t>Quality cost +20% (China)</t>
  </si>
  <si>
    <t>China quality escalation after PPM drift. +20% on defect cost line.</t>
  </si>
  <si>
    <t>Quality cost +40% (China)</t>
  </si>
  <si>
    <t>Severe quality crisis: multiple field returns. China defect cost +40%.</t>
  </si>
  <si>
    <t>All-in bad case (Red Sea + USD +10% + CBAM €75)</t>
  </si>
  <si>
    <t>Realistic worst case combining the three most likely 2026 stressors.</t>
  </si>
  <si>
    <t>How to read this table</t>
  </si>
  <si>
    <t xml:space="preserve">Count how many scenarios your baseline winner LOSES. If 0-1 → robust choice. If 2-4 → fragile, consider the runner-up. If 5+ → your winner wins on unit price, not on resilience.
Rule of thumb used by the Procurea beta cohort: prefer the supplier that wins the baseline AND at least 7 of 10 scenarios. A TCO gap of less than 3% between #1 and #2 is within model error — treat it as a tie and pick the more resilient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</si>
</sst>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€#,##0.00"/>
    <numFmt numFmtId="165" formatCode="0.0%"/>
    <numFmt numFmtId="166" formatCode="€#,##0"/>
    <numFmt numFmtId="167" formatCode="0.0000"/>
    <numFmt numFmtId="168" formatCode="+0.0%;-0.0%;0%"/>
    <numFmt numFmtId="169" formatCode="+0;-0;0"/>
    <numFmt numFmtId="170" formatCode="0.00&quot;×&quot;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3F6366"/>
      <sz val="20"/>
      <name val="Calibri"/>
    </font>
    <font>
      <color rgb="FF1E2A2B"/>
      <sz val="11"/>
      <name val="Calibri"/>
    </font>
    <font>
      <color rgb="FF6B7A7C"/>
      <sz val="10"/>
      <name val="Calibri"/>
    </font>
    <font>
      <b/>
      <color rgb="FFFFFFFF"/>
      <sz val="12"/>
      <name val="Calibri"/>
    </font>
    <font>
      <b/>
      <color rgb="FF1E2A2B"/>
      <sz val="11"/>
      <name val="Calibri"/>
    </font>
    <font>
      <b/>
      <color rgb="FFFFFFFF"/>
      <sz val="11"/>
      <name val="Calibri"/>
    </font>
    <font>
      <i/>
      <color rgb="FF6B7A7C"/>
      <sz val="11"/>
      <name val="Calibri"/>
    </font>
    <font>
      <b/>
      <color rgb="FF6B7A7C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5E8C8F"/>
      </patternFill>
    </fill>
    <fill>
      <patternFill patternType="solid">
        <fgColor rgb="FFF6F8F8"/>
      </patternFill>
    </fill>
    <fill>
      <patternFill patternType="solid">
        <fgColor rgb="FF3F6366"/>
      </patternFill>
    </fill>
    <fill>
      <patternFill patternType="solid">
        <fgColor rgb="FFFFF4C7"/>
      </patternFill>
    </fill>
    <fill>
      <patternFill patternType="solid">
        <fgColor rgb="FFFFFFFF"/>
      </patternFill>
    </fill>
    <fill>
      <patternFill patternType="solid">
        <fgColor rgb="FFB8E0B8"/>
      </patternFill>
    </fill>
  </fills>
  <borders count="14">
    <border>
      <left/>
      <right/>
      <top/>
      <bottom/>
      <diagonal/>
    </border>
    <border>
      <left style="thin">
        <color rgb="FFB8C2C4"/>
      </left>
      <right style="thin">
        <color rgb="FFB8C2C4"/>
      </right>
      <top style="medium">
        <color rgb="FF3F6366"/>
      </top>
      <bottom style="medium">
        <color rgb="FF3F6366"/>
      </bottom>
      <diagonal/>
    </border>
    <border>
      <left style="thin">
        <color rgb="FFB8C2C4"/>
      </left>
      <right style="thin">
        <color rgb="FFB8C2C4"/>
      </right>
      <top style="thin">
        <color rgb="FFB8C2C4"/>
      </top>
      <bottom style="thin">
        <color rgb="FFB8C2C4"/>
      </bottom>
      <diagonal/>
    </border>
    <border>
      <left style="medium">
        <color rgb="FF3F6366"/>
      </left>
      <right style="thin">
        <color rgb="FFB8C2C4"/>
      </right>
      <top style="medium">
        <color rgb="FF3F6366"/>
      </top>
      <bottom style="thin">
        <color rgb="FFB8C2C4"/>
      </bottom>
      <diagonal/>
    </border>
    <border>
      <left style="thin">
        <color rgb="FFB8C2C4"/>
      </left>
      <right style="thin">
        <color rgb="FFB8C2C4"/>
      </right>
      <top style="medium">
        <color rgb="FF3F6366"/>
      </top>
      <bottom style="thin">
        <color rgb="FFB8C2C4"/>
      </bottom>
      <diagonal/>
    </border>
    <border>
      <left style="thin">
        <color rgb="FFB8C2C4"/>
      </left>
      <right style="medium">
        <color rgb="FF3F6366"/>
      </right>
      <top style="medium">
        <color rgb="FF3F6366"/>
      </top>
      <bottom style="thin">
        <color rgb="FFB8C2C4"/>
      </bottom>
      <diagonal/>
    </border>
    <border>
      <left style="medium">
        <color rgb="FF3F6366"/>
      </left>
      <right style="thin">
        <color rgb="FFB8C2C4"/>
      </right>
      <top style="thin">
        <color rgb="FFB8C2C4"/>
      </top>
      <bottom style="thin">
        <color rgb="FFB8C2C4"/>
      </bottom>
      <diagonal/>
    </border>
    <border>
      <left style="thin">
        <color rgb="FFB8C2C4"/>
      </left>
      <right style="medium">
        <color rgb="FF3F6366"/>
      </right>
      <top style="thin">
        <color rgb="FFB8C2C4"/>
      </top>
      <bottom style="thin">
        <color rgb="FFB8C2C4"/>
      </bottom>
      <diagonal/>
    </border>
    <border>
      <left style="medium">
        <color rgb="FF3F6366"/>
      </left>
      <right style="thin">
        <color rgb="FFB8C2C4"/>
      </right>
      <top style="thin">
        <color rgb="FFB8C2C4"/>
      </top>
      <bottom style="medium">
        <color rgb="FF3F6366"/>
      </bottom>
      <diagonal/>
    </border>
    <border>
      <left style="thin">
        <color rgb="FFB8C2C4"/>
      </left>
      <right style="thin">
        <color rgb="FFB8C2C4"/>
      </right>
      <top style="thin">
        <color rgb="FFB8C2C4"/>
      </top>
      <bottom style="medium">
        <color rgb="FF3F6366"/>
      </bottom>
      <diagonal/>
    </border>
    <border>
      <left style="thin">
        <color rgb="FFB8C2C4"/>
      </left>
      <right style="medium">
        <color rgb="FF3F6366"/>
      </right>
      <top style="thin">
        <color rgb="FFB8C2C4"/>
      </top>
      <bottom style="medium">
        <color rgb="FF3F6366"/>
      </bottom>
      <diagonal/>
    </border>
    <border>
      <left style="medium">
        <color rgb="FF3F6366"/>
      </left>
      <right style="thin">
        <color rgb="FFB8C2C4"/>
      </right>
      <top style="medium">
        <color rgb="FF3F6366"/>
      </top>
      <bottom style="medium">
        <color rgb="FF3F6366"/>
      </bottom>
      <diagonal/>
    </border>
    <border>
      <left style="thin">
        <color rgb="FFB8C2C4"/>
      </left>
      <right style="medium">
        <color rgb="FF3F6366"/>
      </right>
      <top style="medium">
        <color rgb="FF3F6366"/>
      </top>
      <bottom style="medium">
        <color rgb="FF3F6366"/>
      </bottom>
      <diagonal/>
    </border>
    <border>
      <left style="medium">
        <color rgb="FF3F6366"/>
      </left>
      <right style="medium">
        <color rgb="FF3F6366"/>
      </right>
      <top style="medium">
        <color rgb="FF3F6366"/>
      </top>
      <bottom style="medium">
        <color rgb="FF3F6366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164" fontId="3" fillId="0" borderId="2" xfId="0" applyNumberFormat="1" applyFont="1" applyBorder="1" applyAlignment="1">
      <alignment horizontal="right" vertical="center" wrapText="1"/>
    </xf>
    <xf numFmtId="165" fontId="3" fillId="0" borderId="2" xfId="0" applyNumberFormat="1" applyFont="1" applyBorder="1" applyAlignment="1">
      <alignment horizontal="righ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64" fontId="3" fillId="3" borderId="2" xfId="0" applyNumberFormat="1" applyFont="1" applyFill="1" applyBorder="1" applyAlignment="1">
      <alignment horizontal="right" vertical="center" wrapText="1"/>
    </xf>
    <xf numFmtId="165" fontId="3" fillId="3" borderId="2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left" vertical="center" wrapText="1" indent="1"/>
    </xf>
    <xf numFmtId="164" fontId="7" fillId="4" borderId="1" xfId="0" applyNumberFormat="1" applyFont="1" applyFill="1" applyBorder="1" applyAlignment="1">
      <alignment horizontal="right" vertical="center" wrapText="1"/>
    </xf>
    <xf numFmtId="165" fontId="7" fillId="4" borderId="1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right" vertical="center"/>
    </xf>
    <xf numFmtId="164" fontId="3" fillId="5" borderId="4" xfId="0" applyNumberFormat="1" applyFont="1" applyFill="1" applyBorder="1" applyAlignment="1">
      <alignment horizontal="right" vertical="center"/>
    </xf>
    <xf numFmtId="164" fontId="3" fillId="5" borderId="5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164" fontId="3" fillId="5" borderId="7" xfId="0" applyNumberFormat="1" applyFont="1" applyFill="1" applyBorder="1" applyAlignment="1">
      <alignment horizontal="right" vertical="center"/>
    </xf>
    <xf numFmtId="164" fontId="3" fillId="5" borderId="8" xfId="0" applyNumberFormat="1" applyFont="1" applyFill="1" applyBorder="1" applyAlignment="1">
      <alignment horizontal="right" vertical="center"/>
    </xf>
    <xf numFmtId="164" fontId="3" fillId="5" borderId="9" xfId="0" applyNumberFormat="1" applyFont="1" applyFill="1" applyBorder="1" applyAlignment="1">
      <alignment horizontal="right" vertical="center"/>
    </xf>
    <xf numFmtId="164" fontId="3" fillId="5" borderId="10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3" fontId="0" fillId="5" borderId="11" xfId="0" applyNumberFormat="1" applyFill="1" applyBorder="1" applyAlignment="1">
      <alignment horizontal="right" vertical="center"/>
    </xf>
    <xf numFmtId="3" fontId="0" fillId="5" borderId="1" xfId="0" applyNumberFormat="1" applyFill="1" applyBorder="1" applyAlignment="1">
      <alignment horizontal="right" vertical="center"/>
    </xf>
    <xf numFmtId="3" fontId="0" fillId="5" borderId="12" xfId="0" applyNumberFormat="1" applyFill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" fontId="0" fillId="5" borderId="11" xfId="0" applyNumberFormat="1" applyFill="1" applyBorder="1" applyAlignment="1">
      <alignment horizontal="right" vertical="center"/>
    </xf>
    <xf numFmtId="1" fontId="0" fillId="5" borderId="1" xfId="0" applyNumberFormat="1" applyFill="1" applyBorder="1" applyAlignment="1">
      <alignment horizontal="right" vertical="center"/>
    </xf>
    <xf numFmtId="1" fontId="0" fillId="5" borderId="12" xfId="0" applyNumberFormat="1" applyFill="1" applyBorder="1" applyAlignment="1">
      <alignment horizontal="right" vertical="center"/>
    </xf>
    <xf numFmtId="1" fontId="6" fillId="0" borderId="2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167" fontId="6" fillId="5" borderId="13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 wrapText="1" indent="1"/>
    </xf>
    <xf numFmtId="166" fontId="6" fillId="5" borderId="13" xfId="0" applyNumberFormat="1" applyFont="1" applyFill="1" applyBorder="1" applyAlignment="1">
      <alignment horizontal="right" vertical="center"/>
    </xf>
    <xf numFmtId="10" fontId="6" fillId="5" borderId="13" xfId="0" applyNumberFormat="1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 indent="1"/>
    </xf>
    <xf numFmtId="168" fontId="4" fillId="0" borderId="2" xfId="0" applyNumberFormat="1" applyFont="1" applyBorder="1" applyAlignment="1">
      <alignment horizontal="center" vertical="center"/>
    </xf>
    <xf numFmtId="169" fontId="4" fillId="0" borderId="2" xfId="0" applyNumberFormat="1" applyFont="1" applyBorder="1" applyAlignment="1">
      <alignment horizontal="center" vertical="center"/>
    </xf>
    <xf numFmtId="170" fontId="4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68" fontId="4" fillId="3" borderId="2" xfId="0" applyNumberFormat="1" applyFont="1" applyFill="1" applyBorder="1" applyAlignment="1">
      <alignment horizontal="center" vertical="center"/>
    </xf>
    <xf numFmtId="169" fontId="4" fillId="3" borderId="2" xfId="0" applyNumberFormat="1" applyFont="1" applyFill="1" applyBorder="1" applyAlignment="1">
      <alignment horizontal="center" vertical="center"/>
    </xf>
    <xf numFmtId="170" fontId="4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left" vertical="top" wrapText="1" indent="1"/>
    </xf>
  </cellXfs>
  <cellStyles count="1">
    <cellStyle name="Normal" xfId="0" builtinId="0"/>
  </cellStyles>
  <dxfs count="16"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  <dxf>
      <font>
        <b/>
        <color rgb="FF1E2A2B"/>
      </font>
      <fill>
        <patternFill patternType="solid">
          <bgColor rgb="FFB8E0B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48" customWidth="1"/>
    <col min="3" max="3" width="36" customWidth="1"/>
    <col min="4" max="4" width="18" customWidth="1"/>
    <col min="5" max="5" width="14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30" customHeight="1" spans="1:5" x14ac:dyDescent="0.25">
      <c r="A2" s="2" t="s">
        <v>1</v>
      </c>
      <c r="B2" s="2"/>
      <c r="C2" s="2"/>
      <c r="D2" s="2"/>
      <c r="E2" s="2"/>
    </row>
    <row r="3" ht="18" customHeight="1" spans="1:5" x14ac:dyDescent="0.25">
      <c r="A3" s="3" t="s">
        <v>2</v>
      </c>
      <c r="B3" s="3"/>
      <c r="C3" s="3"/>
      <c r="D3" s="3"/>
      <c r="E3" s="3"/>
    </row>
    <row r="4" ht="18" customHeight="1" spans="1:5" x14ac:dyDescent="0.25">
      <c r="A4" s="3"/>
      <c r="B4" s="3"/>
      <c r="C4" s="3"/>
      <c r="D4" s="3"/>
      <c r="E4" s="3"/>
    </row>
    <row r="5" ht="18" customHeight="1" spans="1:5" x14ac:dyDescent="0.25">
      <c r="A5" s="3"/>
      <c r="B5" s="3"/>
      <c r="C5" s="3"/>
      <c r="D5" s="3"/>
      <c r="E5" s="3"/>
    </row>
    <row r="6" ht="18" customHeight="1" spans="1:5" x14ac:dyDescent="0.25">
      <c r="A6" s="3"/>
      <c r="B6" s="3"/>
      <c r="C6" s="3"/>
      <c r="D6" s="3"/>
      <c r="E6" s="3"/>
    </row>
    <row r="7" ht="18" customHeight="1" spans="1:5" x14ac:dyDescent="0.25">
      <c r="A7" s="4" t="s">
        <v>3</v>
      </c>
      <c r="B7" s="4"/>
      <c r="C7" s="4"/>
      <c r="D7" s="4"/>
      <c r="E7" s="4"/>
    </row>
    <row r="8" ht="8" customHeight="1" x14ac:dyDescent="0.25"/>
    <row r="9" ht="28" customHeight="1" spans="1:5" x14ac:dyDescent="0.25">
      <c r="A9" s="5" t="s">
        <v>4</v>
      </c>
      <c r="B9" s="5" t="s">
        <v>5</v>
      </c>
      <c r="C9" s="5" t="s">
        <v>6</v>
      </c>
      <c r="D9" s="5" t="s">
        <v>7</v>
      </c>
      <c r="E9" s="5" t="s">
        <v>8</v>
      </c>
    </row>
    <row r="10" ht="42" customHeight="1" spans="1:5" x14ac:dyDescent="0.25">
      <c r="A10" s="6" t="s">
        <v>9</v>
      </c>
      <c r="B10" s="7" t="s">
        <v>10</v>
      </c>
      <c r="C10" s="7" t="s">
        <v>11</v>
      </c>
      <c r="D10" s="8">
        <v>8.95</v>
      </c>
      <c r="E10" s="9">
        <v>0.77</v>
      </c>
    </row>
    <row r="11" ht="42" customHeight="1" spans="1:5" x14ac:dyDescent="0.25">
      <c r="A11" s="10" t="s">
        <v>12</v>
      </c>
      <c r="B11" s="11" t="s">
        <v>13</v>
      </c>
      <c r="C11" s="11" t="s">
        <v>14</v>
      </c>
      <c r="D11" s="12">
        <v>0.75</v>
      </c>
      <c r="E11" s="13">
        <v>0.065</v>
      </c>
    </row>
    <row r="12" ht="42" customHeight="1" spans="1:5" x14ac:dyDescent="0.25">
      <c r="A12" s="6" t="s">
        <v>15</v>
      </c>
      <c r="B12" s="7" t="s">
        <v>16</v>
      </c>
      <c r="C12" s="7" t="s">
        <v>17</v>
      </c>
      <c r="D12" s="8">
        <v>0.54</v>
      </c>
      <c r="E12" s="9">
        <v>0.045</v>
      </c>
    </row>
    <row r="13" ht="42" customHeight="1" spans="1:5" x14ac:dyDescent="0.25">
      <c r="A13" s="10" t="s">
        <v>18</v>
      </c>
      <c r="B13" s="11" t="s">
        <v>19</v>
      </c>
      <c r="C13" s="11" t="s">
        <v>20</v>
      </c>
      <c r="D13" s="12">
        <v>0.42</v>
      </c>
      <c r="E13" s="13">
        <v>0.036</v>
      </c>
    </row>
    <row r="14" ht="42" customHeight="1" spans="1:5" x14ac:dyDescent="0.25">
      <c r="A14" s="6" t="s">
        <v>21</v>
      </c>
      <c r="B14" s="7" t="s">
        <v>22</v>
      </c>
      <c r="C14" s="7" t="s">
        <v>23</v>
      </c>
      <c r="D14" s="8">
        <v>0.31</v>
      </c>
      <c r="E14" s="9">
        <v>0.027</v>
      </c>
    </row>
    <row r="15" ht="42" customHeight="1" spans="1:5" x14ac:dyDescent="0.25">
      <c r="A15" s="10" t="s">
        <v>24</v>
      </c>
      <c r="B15" s="11" t="s">
        <v>25</v>
      </c>
      <c r="C15" s="11" t="s">
        <v>26</v>
      </c>
      <c r="D15" s="12">
        <v>0.13</v>
      </c>
      <c r="E15" s="13">
        <v>0.011</v>
      </c>
    </row>
    <row r="16" ht="42" customHeight="1" spans="1:5" x14ac:dyDescent="0.25">
      <c r="A16" s="6" t="s">
        <v>27</v>
      </c>
      <c r="B16" s="7" t="s">
        <v>28</v>
      </c>
      <c r="C16" s="7" t="s">
        <v>29</v>
      </c>
      <c r="D16" s="8">
        <v>0.09</v>
      </c>
      <c r="E16" s="9">
        <v>0.008</v>
      </c>
    </row>
    <row r="17" ht="42" customHeight="1" spans="1:5" x14ac:dyDescent="0.25">
      <c r="A17" s="10" t="s">
        <v>30</v>
      </c>
      <c r="B17" s="11" t="s">
        <v>31</v>
      </c>
      <c r="C17" s="11" t="s">
        <v>32</v>
      </c>
      <c r="D17" s="12">
        <v>0.18</v>
      </c>
      <c r="E17" s="13">
        <v>0.015</v>
      </c>
    </row>
    <row r="18" ht="42" customHeight="1" spans="1:5" x14ac:dyDescent="0.25">
      <c r="A18" s="6" t="s">
        <v>33</v>
      </c>
      <c r="B18" s="7" t="s">
        <v>34</v>
      </c>
      <c r="C18" s="7" t="s">
        <v>35</v>
      </c>
      <c r="D18" s="8">
        <v>0.22</v>
      </c>
      <c r="E18" s="9">
        <v>0.019</v>
      </c>
    </row>
    <row r="19" ht="42" customHeight="1" spans="1:5" x14ac:dyDescent="0.25">
      <c r="A19" s="10" t="s">
        <v>36</v>
      </c>
      <c r="B19" s="11" t="s">
        <v>37</v>
      </c>
      <c r="C19" s="11" t="s">
        <v>38</v>
      </c>
      <c r="D19" s="12">
        <v>0.05</v>
      </c>
      <c r="E19" s="13">
        <v>0.004</v>
      </c>
    </row>
    <row r="20" ht="28" customHeight="1" spans="1:5" x14ac:dyDescent="0.25">
      <c r="A20" s="14" t="s">
        <v>39</v>
      </c>
      <c r="B20" s="14" t="s">
        <v>40</v>
      </c>
      <c r="C20" s="14" t="s">
        <v>41</v>
      </c>
      <c r="D20" s="15">
        <f>SUM(D10:D19)</f>
      </c>
      <c r="E20" s="16">
        <f>SUM(E10:E19)</f>
      </c>
    </row>
    <row r="22" ht="20" customHeight="1" spans="1:5" x14ac:dyDescent="0.25">
      <c r="A22" s="17" t="s">
        <v>42</v>
      </c>
      <c r="B22" s="17"/>
      <c r="C22" s="17"/>
      <c r="D22" s="17"/>
      <c r="E22" s="17"/>
    </row>
    <row r="23" ht="20" customHeight="1" spans="1:5" x14ac:dyDescent="0.25">
      <c r="A23" s="17"/>
      <c r="B23" s="17"/>
      <c r="C23" s="17"/>
      <c r="D23" s="17"/>
      <c r="E23" s="17"/>
    </row>
  </sheetData>
  <mergeCells count="5">
    <mergeCell ref="A1:E1"/>
    <mergeCell ref="A2:E2"/>
    <mergeCell ref="A3:E6"/>
    <mergeCell ref="A7:E7"/>
    <mergeCell ref="A22:E23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36" customWidth="1"/>
    <col min="2" max="2" width="12" customWidth="1"/>
    <col min="3" max="3" width="10" customWidth="1"/>
    <col min="4" max="8" width="14" customWidth="1"/>
  </cols>
  <sheetData>
    <row r="1" ht="26" customHeight="1" spans="1:8" x14ac:dyDescent="0.25">
      <c r="A1" s="1" t="s">
        <v>43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18" t="s">
        <v>44</v>
      </c>
      <c r="B2" s="18"/>
      <c r="C2" s="18"/>
      <c r="D2" s="18"/>
      <c r="E2" s="18"/>
      <c r="F2" s="18"/>
      <c r="G2" s="18"/>
      <c r="H2" s="18"/>
    </row>
    <row r="3" ht="18" customHeight="1" spans="1:3" x14ac:dyDescent="0.25">
      <c r="A3" s="19" t="s">
        <v>45</v>
      </c>
      <c r="B3" s="20" t="s">
        <v>46</v>
      </c>
      <c r="C3" s="21" t="s">
        <v>47</v>
      </c>
    </row>
    <row r="4" ht="8" customHeight="1" x14ac:dyDescent="0.25"/>
    <row r="5" ht="36" customHeight="1" spans="1:8" x14ac:dyDescent="0.25">
      <c r="A5" s="22" t="s">
        <v>48</v>
      </c>
      <c r="B5" s="23" t="s">
        <v>49</v>
      </c>
      <c r="C5" s="23" t="s">
        <v>50</v>
      </c>
      <c r="D5" s="23" t="s">
        <v>51</v>
      </c>
      <c r="E5" s="23" t="s">
        <v>52</v>
      </c>
      <c r="F5" s="23" t="s">
        <v>53</v>
      </c>
      <c r="G5" s="23" t="s">
        <v>54</v>
      </c>
      <c r="H5" s="23" t="s">
        <v>55</v>
      </c>
    </row>
    <row r="6" ht="6" customHeight="1" x14ac:dyDescent="0.25"/>
    <row r="7" ht="20" customHeight="1" spans="1:8" x14ac:dyDescent="0.25">
      <c r="A7" s="24" t="s">
        <v>9</v>
      </c>
      <c r="B7" s="25" t="s">
        <v>56</v>
      </c>
      <c r="C7" s="25" t="s">
        <v>57</v>
      </c>
      <c r="D7" s="26">
        <v>8.95</v>
      </c>
      <c r="E7" s="27">
        <v>10.8</v>
      </c>
      <c r="F7" s="27">
        <v>12.4</v>
      </c>
      <c r="G7" s="27">
        <v>11.75</v>
      </c>
      <c r="H7" s="28">
        <v>11.2</v>
      </c>
    </row>
    <row r="8" ht="20" customHeight="1" spans="1:8" x14ac:dyDescent="0.25">
      <c r="A8" s="29" t="s">
        <v>12</v>
      </c>
      <c r="B8" s="30" t="s">
        <v>56</v>
      </c>
      <c r="C8" s="30" t="s">
        <v>57</v>
      </c>
      <c r="D8" s="31">
        <v>0.75</v>
      </c>
      <c r="E8" s="32">
        <v>0.28</v>
      </c>
      <c r="F8" s="32">
        <v>0.12</v>
      </c>
      <c r="G8" s="32">
        <v>0.22</v>
      </c>
      <c r="H8" s="33">
        <v>0.19</v>
      </c>
    </row>
    <row r="9" ht="20" customHeight="1" spans="1:8" x14ac:dyDescent="0.25">
      <c r="A9" s="24" t="s">
        <v>15</v>
      </c>
      <c r="B9" s="25" t="s">
        <v>56</v>
      </c>
      <c r="C9" s="25" t="s">
        <v>57</v>
      </c>
      <c r="D9" s="31">
        <v>0.54</v>
      </c>
      <c r="E9" s="32">
        <v>0</v>
      </c>
      <c r="F9" s="32">
        <v>0</v>
      </c>
      <c r="G9" s="32">
        <v>0</v>
      </c>
      <c r="H9" s="33">
        <v>0</v>
      </c>
    </row>
    <row r="10" ht="20" customHeight="1" spans="1:8" x14ac:dyDescent="0.25">
      <c r="A10" s="29" t="s">
        <v>18</v>
      </c>
      <c r="B10" s="30" t="s">
        <v>56</v>
      </c>
      <c r="C10" s="30" t="s">
        <v>57</v>
      </c>
      <c r="D10" s="31">
        <v>0.42</v>
      </c>
      <c r="E10" s="32">
        <v>0.18</v>
      </c>
      <c r="F10" s="32">
        <v>0</v>
      </c>
      <c r="G10" s="32">
        <v>0</v>
      </c>
      <c r="H10" s="33">
        <v>0</v>
      </c>
    </row>
    <row r="11" ht="20" customHeight="1" spans="1:8" x14ac:dyDescent="0.25">
      <c r="A11" s="24" t="s">
        <v>21</v>
      </c>
      <c r="B11" s="25" t="s">
        <v>56</v>
      </c>
      <c r="C11" s="25" t="s">
        <v>57</v>
      </c>
      <c r="D11" s="31">
        <v>0.31</v>
      </c>
      <c r="E11" s="32">
        <v>0.14</v>
      </c>
      <c r="F11" s="32">
        <v>0.08</v>
      </c>
      <c r="G11" s="32">
        <v>0.12</v>
      </c>
      <c r="H11" s="33">
        <v>0.11</v>
      </c>
    </row>
    <row r="12" ht="20" customHeight="1" spans="1:8" x14ac:dyDescent="0.25">
      <c r="A12" s="29" t="s">
        <v>24</v>
      </c>
      <c r="B12" s="30" t="s">
        <v>56</v>
      </c>
      <c r="C12" s="30" t="s">
        <v>57</v>
      </c>
      <c r="D12" s="31">
        <v>0.13</v>
      </c>
      <c r="E12" s="32">
        <v>0.08</v>
      </c>
      <c r="F12" s="32">
        <v>0.05</v>
      </c>
      <c r="G12" s="32">
        <v>0.06</v>
      </c>
      <c r="H12" s="33">
        <v>0.07</v>
      </c>
    </row>
    <row r="13" ht="20" customHeight="1" spans="1:8" x14ac:dyDescent="0.25">
      <c r="A13" s="24" t="s">
        <v>27</v>
      </c>
      <c r="B13" s="25" t="s">
        <v>56</v>
      </c>
      <c r="C13" s="25" t="s">
        <v>57</v>
      </c>
      <c r="D13" s="31">
        <v>0.09</v>
      </c>
      <c r="E13" s="32">
        <v>0.04</v>
      </c>
      <c r="F13" s="32">
        <v>0</v>
      </c>
      <c r="G13" s="32">
        <v>0.02</v>
      </c>
      <c r="H13" s="33">
        <v>0.03</v>
      </c>
    </row>
    <row r="14" ht="20" customHeight="1" spans="1:8" x14ac:dyDescent="0.25">
      <c r="A14" s="29" t="s">
        <v>30</v>
      </c>
      <c r="B14" s="30" t="s">
        <v>56</v>
      </c>
      <c r="C14" s="30" t="s">
        <v>57</v>
      </c>
      <c r="D14" s="31">
        <v>0.18</v>
      </c>
      <c r="E14" s="32">
        <v>0.18</v>
      </c>
      <c r="F14" s="32">
        <v>0.18</v>
      </c>
      <c r="G14" s="32">
        <v>0.18</v>
      </c>
      <c r="H14" s="33">
        <v>0.18</v>
      </c>
    </row>
    <row r="15" ht="20" customHeight="1" spans="1:8" x14ac:dyDescent="0.25">
      <c r="A15" s="24" t="s">
        <v>33</v>
      </c>
      <c r="B15" s="25" t="s">
        <v>56</v>
      </c>
      <c r="C15" s="25" t="s">
        <v>57</v>
      </c>
      <c r="D15" s="31">
        <v>0.22</v>
      </c>
      <c r="E15" s="32">
        <v>0.11</v>
      </c>
      <c r="F15" s="32">
        <v>0</v>
      </c>
      <c r="G15" s="32">
        <v>0.08</v>
      </c>
      <c r="H15" s="33">
        <v>0.1</v>
      </c>
    </row>
    <row r="16" ht="20" customHeight="1" spans="1:8" x14ac:dyDescent="0.25">
      <c r="A16" s="29" t="s">
        <v>36</v>
      </c>
      <c r="B16" s="30" t="s">
        <v>56</v>
      </c>
      <c r="C16" s="30" t="s">
        <v>57</v>
      </c>
      <c r="D16" s="34">
        <v>0.05</v>
      </c>
      <c r="E16" s="35">
        <v>0.08</v>
      </c>
      <c r="F16" s="35">
        <v>0</v>
      </c>
      <c r="G16" s="35">
        <v>0</v>
      </c>
      <c r="H16" s="36">
        <v>0</v>
      </c>
    </row>
    <row r="17" ht="26" customHeight="1" spans="1:8" x14ac:dyDescent="0.25">
      <c r="A17" s="37" t="s">
        <v>58</v>
      </c>
      <c r="B17" s="38" t="s">
        <v>56</v>
      </c>
      <c r="C17" s="38" t="s">
        <v>57</v>
      </c>
      <c r="D17" s="39">
        <f>SUM(D7:D16)</f>
      </c>
      <c r="E17" s="39">
        <f>SUM(E7:E16)</f>
      </c>
      <c r="F17" s="39">
        <f>SUM(F7:F16)</f>
      </c>
      <c r="G17" s="39">
        <f>SUM(G7:G16)</f>
      </c>
      <c r="H17" s="39">
        <f>SUM(H7:H16)</f>
      </c>
    </row>
    <row r="18" ht="20" customHeight="1" spans="1:8" x14ac:dyDescent="0.25">
      <c r="A18" s="40" t="s">
        <v>59</v>
      </c>
      <c r="B18" s="41" t="s">
        <v>60</v>
      </c>
      <c r="D18" s="42">
        <f>(D17-D7)/D7</f>
      </c>
      <c r="E18" s="42">
        <f>(E17-E7)/E7</f>
      </c>
      <c r="F18" s="42">
        <f>(F17-F7)/F7</f>
      </c>
      <c r="G18" s="42">
        <f>(G17-G7)/G7</f>
      </c>
      <c r="H18" s="42">
        <f>(H17-H7)/H7</f>
      </c>
    </row>
    <row r="19" ht="20" customHeight="1" spans="1:8" x14ac:dyDescent="0.25">
      <c r="A19" s="24" t="s">
        <v>61</v>
      </c>
      <c r="B19" s="25" t="s">
        <v>62</v>
      </c>
      <c r="D19" s="43">
        <v>50000</v>
      </c>
      <c r="E19" s="44">
        <v>50000</v>
      </c>
      <c r="F19" s="44">
        <v>50000</v>
      </c>
      <c r="G19" s="44">
        <v>50000</v>
      </c>
      <c r="H19" s="45">
        <v>50000</v>
      </c>
    </row>
    <row r="20" ht="22" customHeight="1" spans="1:8" x14ac:dyDescent="0.25">
      <c r="A20" s="40" t="s">
        <v>63</v>
      </c>
      <c r="B20" s="25" t="s">
        <v>64</v>
      </c>
      <c r="D20" s="46">
        <f>D19*D17</f>
      </c>
      <c r="E20" s="46">
        <f>E19*E17</f>
      </c>
      <c r="F20" s="46">
        <f>F19*F17</f>
      </c>
      <c r="G20" s="46">
        <f>G19*G17</f>
      </c>
      <c r="H20" s="46">
        <f>H19*H17</f>
      </c>
    </row>
    <row r="21" ht="20" customHeight="1" spans="1:8" x14ac:dyDescent="0.25">
      <c r="A21" s="24" t="s">
        <v>65</v>
      </c>
      <c r="B21" s="25" t="s">
        <v>66</v>
      </c>
      <c r="D21" s="47">
        <v>56</v>
      </c>
      <c r="E21" s="48">
        <v>28</v>
      </c>
      <c r="F21" s="48">
        <v>21</v>
      </c>
      <c r="G21" s="48">
        <v>30</v>
      </c>
      <c r="H21" s="49">
        <v>25</v>
      </c>
    </row>
    <row r="22" ht="22" customHeight="1" spans="1:8" x14ac:dyDescent="0.25">
      <c r="A22" s="40" t="s">
        <v>67</v>
      </c>
      <c r="B22" s="25" t="s">
        <v>68</v>
      </c>
      <c r="D22" s="50">
        <f>RANK(D17,$D$17:$H$17,1)</f>
      </c>
      <c r="E22" s="50">
        <f>RANK(E17,$D$17:$H$17,1)</f>
      </c>
      <c r="F22" s="50">
        <f>RANK(F17,$D$17:$H$17,1)</f>
      </c>
      <c r="G22" s="50">
        <f>RANK(G17,$D$17:$H$17,1)</f>
      </c>
      <c r="H22" s="50">
        <f>RANK(H17,$D$17:$H$17,1)</f>
      </c>
    </row>
    <row r="24" ht="18" customHeight="1" spans="1:8" x14ac:dyDescent="0.25">
      <c r="A24" s="17" t="s">
        <v>69</v>
      </c>
      <c r="B24" s="17"/>
      <c r="C24" s="17"/>
      <c r="D24" s="17"/>
      <c r="E24" s="17"/>
      <c r="F24" s="17"/>
      <c r="G24" s="17"/>
      <c r="H24" s="17"/>
    </row>
    <row r="25" ht="18" customHeight="1" spans="1:8" x14ac:dyDescent="0.25">
      <c r="A25" s="17"/>
      <c r="B25" s="17"/>
      <c r="C25" s="17"/>
      <c r="D25" s="17"/>
      <c r="E25" s="17"/>
      <c r="F25" s="17"/>
      <c r="G25" s="17"/>
      <c r="H25" s="17"/>
    </row>
    <row r="26" ht="18" customHeight="1" spans="1:8" x14ac:dyDescent="0.25">
      <c r="A26" s="17"/>
      <c r="B26" s="17"/>
      <c r="C26" s="17"/>
      <c r="D26" s="17"/>
      <c r="E26" s="17"/>
      <c r="F26" s="17"/>
      <c r="G26" s="17"/>
      <c r="H26" s="17"/>
    </row>
  </sheetData>
  <mergeCells count="3">
    <mergeCell ref="A1:H1"/>
    <mergeCell ref="A2:H2"/>
    <mergeCell ref="A24:H26"/>
  </mergeCells>
  <conditionalFormatting sqref="D17:H17">
    <cfRule type="cellIs" dxfId="0" priority="1" operator="equal">
      <formula>MIN($D$17:$H$17)</formula>
    </cfRule>
  </conditionalFormatting>
  <conditionalFormatting sqref="D20:H20">
    <cfRule type="cellIs" dxfId="1" priority="1" operator="equal">
      <formula>MIN($D$20:$H$20)</formula>
    </cfRule>
  </conditionalFormatting>
  <conditionalFormatting sqref="D22:H22">
    <cfRule type="cellIs" dxfId="2" priority="1" operator="equal">
      <formula>1</formula>
    </cfRule>
  </conditionalFormatting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workbookViewId="0">
      <pane xSplit="1" ySplit="12" topLeftCell="B13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2" width="12" customWidth="1"/>
    <col min="3" max="3" width="14" customWidth="1"/>
    <col min="4" max="4" width="16" customWidth="1"/>
    <col min="5" max="8" width="14" customWidth="1"/>
    <col min="9" max="9" width="16" customWidth="1"/>
    <col min="10" max="10" width="40" customWidth="1"/>
  </cols>
  <sheetData>
    <row r="1" ht="26" customHeight="1" spans="1:10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18" t="s">
        <v>71</v>
      </c>
      <c r="B2" s="18"/>
      <c r="C2" s="18"/>
      <c r="D2" s="18"/>
      <c r="E2" s="18"/>
      <c r="F2" s="18"/>
      <c r="G2" s="18"/>
      <c r="H2" s="18"/>
      <c r="I2" s="18"/>
      <c r="J2" s="18"/>
    </row>
    <row r="3" ht="22" customHeight="1" spans="1:10" x14ac:dyDescent="0.25">
      <c r="A3" s="51" t="s">
        <v>72</v>
      </c>
      <c r="B3" s="51" t="s">
        <v>73</v>
      </c>
      <c r="C3" s="51" t="s">
        <v>74</v>
      </c>
      <c r="D3" s="51"/>
      <c r="E3" s="51"/>
      <c r="F3" s="51"/>
      <c r="G3" s="51"/>
      <c r="H3" s="51"/>
      <c r="I3" s="51"/>
      <c r="J3" s="51"/>
    </row>
    <row r="4" ht="22" customHeight="1" spans="1:10" x14ac:dyDescent="0.25">
      <c r="A4" s="24" t="s">
        <v>75</v>
      </c>
      <c r="B4" s="52">
        <v>1.08</v>
      </c>
      <c r="C4" s="53" t="s">
        <v>76</v>
      </c>
      <c r="D4" s="53"/>
      <c r="E4" s="53"/>
      <c r="F4" s="53"/>
      <c r="G4" s="53"/>
      <c r="H4" s="53"/>
      <c r="I4" s="53"/>
      <c r="J4" s="53"/>
    </row>
    <row r="5" ht="22" customHeight="1" spans="1:10" x14ac:dyDescent="0.25">
      <c r="A5" s="24" t="s">
        <v>77</v>
      </c>
      <c r="B5" s="54">
        <v>60</v>
      </c>
      <c r="C5" s="53" t="s">
        <v>78</v>
      </c>
      <c r="D5" s="53"/>
      <c r="E5" s="53"/>
      <c r="F5" s="53"/>
      <c r="G5" s="53"/>
      <c r="H5" s="53"/>
      <c r="I5" s="53"/>
      <c r="J5" s="53"/>
    </row>
    <row r="6" ht="22" customHeight="1" spans="1:10" x14ac:dyDescent="0.25">
      <c r="A6" s="24" t="s">
        <v>79</v>
      </c>
      <c r="B6" s="55">
        <v>0.06</v>
      </c>
      <c r="C6" s="53" t="s">
        <v>80</v>
      </c>
      <c r="D6" s="53"/>
      <c r="E6" s="53"/>
      <c r="F6" s="53"/>
      <c r="G6" s="53"/>
      <c r="H6" s="53"/>
      <c r="I6" s="53"/>
      <c r="J6" s="53"/>
    </row>
    <row r="7" ht="22" customHeight="1" spans="1:10" x14ac:dyDescent="0.25">
      <c r="A7" s="24" t="s">
        <v>81</v>
      </c>
      <c r="B7" s="55">
        <v>0.08</v>
      </c>
      <c r="C7" s="53" t="s">
        <v>82</v>
      </c>
      <c r="D7" s="53"/>
      <c r="E7" s="53"/>
      <c r="F7" s="53"/>
      <c r="G7" s="53"/>
      <c r="H7" s="53"/>
      <c r="I7" s="53"/>
      <c r="J7" s="53"/>
    </row>
    <row r="8" ht="10" customHeight="1" x14ac:dyDescent="0.25"/>
    <row r="9" ht="22" customHeight="1" spans="1:10" x14ac:dyDescent="0.25">
      <c r="A9" s="56" t="s">
        <v>83</v>
      </c>
      <c r="B9" s="56"/>
      <c r="C9" s="56"/>
      <c r="D9" s="56"/>
      <c r="E9" s="56"/>
      <c r="F9" s="56"/>
      <c r="G9" s="56"/>
      <c r="H9" s="56"/>
      <c r="I9" s="56"/>
      <c r="J9" s="56"/>
    </row>
    <row r="10" spans="1:1" x14ac:dyDescent="0.25">
      <c r="A10" s="40" t="s">
        <v>84</v>
      </c>
    </row>
    <row r="12" ht="30" customHeight="1" spans="1:10" x14ac:dyDescent="0.25">
      <c r="A12" s="22" t="s">
        <v>85</v>
      </c>
      <c r="B12" s="23" t="s">
        <v>86</v>
      </c>
      <c r="C12" s="23" t="s">
        <v>87</v>
      </c>
      <c r="D12" s="23" t="s">
        <v>88</v>
      </c>
      <c r="E12" s="23" t="s">
        <v>89</v>
      </c>
      <c r="F12" s="23" t="s">
        <v>90</v>
      </c>
      <c r="G12" s="23" t="s">
        <v>91</v>
      </c>
      <c r="H12" s="23" t="s">
        <v>92</v>
      </c>
      <c r="I12" s="23" t="s">
        <v>47</v>
      </c>
      <c r="J12" s="22" t="s">
        <v>93</v>
      </c>
    </row>
    <row r="13" ht="22" customHeight="1" spans="1:10" x14ac:dyDescent="0.25">
      <c r="A13" s="6" t="s">
        <v>94</v>
      </c>
      <c r="B13" s="57">
        <v>0</v>
      </c>
      <c r="C13" s="58">
        <v>0</v>
      </c>
      <c r="D13" s="57">
        <v>0</v>
      </c>
      <c r="E13" s="59">
        <v>1</v>
      </c>
      <c r="F13" s="60">
        <f>China_TCO + China_UnitPrice*B13 + China_UnitPrice*D13 + China_CBAM*(E13-1) + China_UnitPrice*0.20*(C13/365) + China_Quality*(1-1)</f>
      </c>
      <c r="G13" s="60">
        <f>Turkey_TCO + Turkey_UnitPrice*0 + Turkey_CBAM*(E13-1)</f>
      </c>
      <c r="H13" s="60">
        <f>Poland_TCO</f>
      </c>
      <c r="I13" s="61">
        <f>INDEX({"China","Turkey","Poland"},MATCH(MIN(F13:H13),F13:H13,0))</f>
      </c>
      <c r="J13" s="53" t="s">
        <v>95</v>
      </c>
    </row>
    <row r="14" ht="22" customHeight="1" spans="1:10" x14ac:dyDescent="0.25">
      <c r="A14" s="11" t="s">
        <v>96</v>
      </c>
      <c r="B14" s="62">
        <v>0.05</v>
      </c>
      <c r="C14" s="63">
        <v>0</v>
      </c>
      <c r="D14" s="62">
        <v>0</v>
      </c>
      <c r="E14" s="64">
        <v>1</v>
      </c>
      <c r="F14" s="65">
        <f>China_TCO + China_UnitPrice*B14 + China_UnitPrice*D14 + China_CBAM*(E14-1) + China_UnitPrice*0.20*(C14/365) + China_Quality*(1-1)</f>
      </c>
      <c r="G14" s="65">
        <f>Turkey_TCO + Turkey_UnitPrice*0 + Turkey_CBAM*(E14-1)</f>
      </c>
      <c r="H14" s="65">
        <f>Poland_TCO</f>
      </c>
      <c r="I14" s="66">
        <f>INDEX({"China","Turkey","Poland"},MATCH(MIN(F14:H14),F14:H14,0))</f>
      </c>
      <c r="J14" s="67" t="s">
        <v>97</v>
      </c>
    </row>
    <row r="15" ht="22" customHeight="1" spans="1:10" x14ac:dyDescent="0.25">
      <c r="A15" s="7" t="s">
        <v>98</v>
      </c>
      <c r="B15" s="57">
        <v>0.1</v>
      </c>
      <c r="C15" s="58">
        <v>0</v>
      </c>
      <c r="D15" s="57">
        <v>0</v>
      </c>
      <c r="E15" s="59">
        <v>1</v>
      </c>
      <c r="F15" s="60">
        <f>China_TCO + China_UnitPrice*B15 + China_UnitPrice*D15 + China_CBAM*(E15-1) + China_UnitPrice*0.20*(C15/365) + China_Quality*(1-1)</f>
      </c>
      <c r="G15" s="60">
        <f>Turkey_TCO + Turkey_UnitPrice*0 + Turkey_CBAM*(E15-1)</f>
      </c>
      <c r="H15" s="60">
        <f>Poland_TCO</f>
      </c>
      <c r="I15" s="61">
        <f>INDEX({"China","Turkey","Poland"},MATCH(MIN(F15:H15),F15:H15,0))</f>
      </c>
      <c r="J15" s="53" t="s">
        <v>99</v>
      </c>
    </row>
    <row r="16" ht="22" customHeight="1" spans="1:10" x14ac:dyDescent="0.25">
      <c r="A16" s="11" t="s">
        <v>100</v>
      </c>
      <c r="B16" s="62">
        <v>0</v>
      </c>
      <c r="C16" s="63">
        <v>0</v>
      </c>
      <c r="D16" s="62">
        <v>0</v>
      </c>
      <c r="E16" s="64">
        <v>1</v>
      </c>
      <c r="F16" s="65">
        <f>China_TCO + China_UnitPrice*B16 + China_UnitPrice*D16 + China_CBAM*(E16-1) + China_UnitPrice*0.20*(C16/365) + China_Quality*(1-1)</f>
      </c>
      <c r="G16" s="65">
        <f>Turkey_TCO + Turkey_UnitPrice*-0.05 + Turkey_CBAM*(E16-1)</f>
      </c>
      <c r="H16" s="65">
        <f>Poland_TCO</f>
      </c>
      <c r="I16" s="66">
        <f>INDEX({"China","Turkey","Poland"},MATCH(MIN(F16:H16),F16:H16,0))</f>
      </c>
      <c r="J16" s="67" t="s">
        <v>101</v>
      </c>
    </row>
    <row r="17" ht="22" customHeight="1" spans="1:10" x14ac:dyDescent="0.25">
      <c r="A17" s="7" t="s">
        <v>102</v>
      </c>
      <c r="B17" s="57">
        <v>0</v>
      </c>
      <c r="C17" s="58">
        <v>14</v>
      </c>
      <c r="D17" s="57">
        <v>0</v>
      </c>
      <c r="E17" s="59">
        <v>1</v>
      </c>
      <c r="F17" s="60">
        <f>China_TCO + China_UnitPrice*B17 + China_UnitPrice*D17 + China_CBAM*(E17-1) + China_UnitPrice*0.20*(C17/365) + China_Quality*(1-1)</f>
      </c>
      <c r="G17" s="60">
        <f>Turkey_TCO + Turkey_UnitPrice*0 + Turkey_CBAM*(E17-1)</f>
      </c>
      <c r="H17" s="60">
        <f>Poland_TCO</f>
      </c>
      <c r="I17" s="61">
        <f>INDEX({"China","Turkey","Poland"},MATCH(MIN(F17:H17),F17:H17,0))</f>
      </c>
      <c r="J17" s="53" t="s">
        <v>103</v>
      </c>
    </row>
    <row r="18" ht="22" customHeight="1" spans="1:10" x14ac:dyDescent="0.25">
      <c r="A18" s="11" t="s">
        <v>104</v>
      </c>
      <c r="B18" s="62">
        <v>0.05</v>
      </c>
      <c r="C18" s="63">
        <v>14</v>
      </c>
      <c r="D18" s="62">
        <v>0</v>
      </c>
      <c r="E18" s="64">
        <v>1</v>
      </c>
      <c r="F18" s="65">
        <f>China_TCO + China_UnitPrice*B18 + China_UnitPrice*D18 + China_CBAM*(E18-1) + China_UnitPrice*0.20*(C18/365) + China_Quality*(1-1)</f>
      </c>
      <c r="G18" s="65">
        <f>Turkey_TCO + Turkey_UnitPrice*0 + Turkey_CBAM*(E18-1)</f>
      </c>
      <c r="H18" s="65">
        <f>Poland_TCO</f>
      </c>
      <c r="I18" s="66">
        <f>INDEX({"China","Turkey","Poland"},MATCH(MIN(F18:H18),F18:H18,0))</f>
      </c>
      <c r="J18" s="67" t="s">
        <v>105</v>
      </c>
    </row>
    <row r="19" ht="22" customHeight="1" spans="1:10" x14ac:dyDescent="0.25">
      <c r="A19" s="7" t="s">
        <v>106</v>
      </c>
      <c r="B19" s="57">
        <v>0</v>
      </c>
      <c r="C19" s="58">
        <v>0</v>
      </c>
      <c r="D19" s="57">
        <v>0.15</v>
      </c>
      <c r="E19" s="59">
        <v>1</v>
      </c>
      <c r="F19" s="60">
        <f>China_TCO + China_UnitPrice*B19 + China_UnitPrice*D19 + China_CBAM*(E19-1) + China_UnitPrice*0.20*(C19/365) + China_Quality*(1-1)</f>
      </c>
      <c r="G19" s="60">
        <f>Turkey_TCO + Turkey_UnitPrice*0 + Turkey_CBAM*(E19-1)</f>
      </c>
      <c r="H19" s="60">
        <f>Poland_TCO</f>
      </c>
      <c r="I19" s="61">
        <f>INDEX({"China","Turkey","Poland"},MATCH(MIN(F19:H19),F19:H19,0))</f>
      </c>
      <c r="J19" s="53" t="s">
        <v>107</v>
      </c>
    </row>
    <row r="20" ht="22" customHeight="1" spans="1:10" x14ac:dyDescent="0.25">
      <c r="A20" s="11" t="s">
        <v>108</v>
      </c>
      <c r="B20" s="62">
        <v>0</v>
      </c>
      <c r="C20" s="63">
        <v>0</v>
      </c>
      <c r="D20" s="62">
        <v>0.25</v>
      </c>
      <c r="E20" s="64">
        <v>1</v>
      </c>
      <c r="F20" s="65">
        <f>China_TCO + China_UnitPrice*B20 + China_UnitPrice*D20 + China_CBAM*(E20-1) + China_UnitPrice*0.20*(C20/365) + China_Quality*(1-1)</f>
      </c>
      <c r="G20" s="65">
        <f>Turkey_TCO + Turkey_UnitPrice*0 + Turkey_CBAM*(E20-1)</f>
      </c>
      <c r="H20" s="65">
        <f>Poland_TCO</f>
      </c>
      <c r="I20" s="66">
        <f>INDEX({"China","Turkey","Poland"},MATCH(MIN(F20:H20),F20:H20,0))</f>
      </c>
      <c r="J20" s="67" t="s">
        <v>109</v>
      </c>
    </row>
    <row r="21" ht="22" customHeight="1" spans="1:10" x14ac:dyDescent="0.25">
      <c r="A21" s="7" t="s">
        <v>110</v>
      </c>
      <c r="B21" s="57">
        <v>0</v>
      </c>
      <c r="C21" s="58">
        <v>0</v>
      </c>
      <c r="D21" s="57">
        <v>0</v>
      </c>
      <c r="E21" s="59">
        <v>1.25</v>
      </c>
      <c r="F21" s="60">
        <f>China_TCO + China_UnitPrice*B21 + China_UnitPrice*D21 + China_CBAM*(E21-1) + China_UnitPrice*0.20*(C21/365) + China_Quality*(1-1)</f>
      </c>
      <c r="G21" s="60">
        <f>Turkey_TCO + Turkey_UnitPrice*0 + Turkey_CBAM*(E21-1)</f>
      </c>
      <c r="H21" s="60">
        <f>Poland_TCO</f>
      </c>
      <c r="I21" s="61">
        <f>INDEX({"China","Turkey","Poland"},MATCH(MIN(F21:H21),F21:H21,0))</f>
      </c>
      <c r="J21" s="53" t="s">
        <v>111</v>
      </c>
    </row>
    <row r="22" ht="22" customHeight="1" spans="1:10" x14ac:dyDescent="0.25">
      <c r="A22" s="11" t="s">
        <v>112</v>
      </c>
      <c r="B22" s="62">
        <v>0</v>
      </c>
      <c r="C22" s="63">
        <v>0</v>
      </c>
      <c r="D22" s="62">
        <v>0</v>
      </c>
      <c r="E22" s="64">
        <v>1</v>
      </c>
      <c r="F22" s="65">
        <f>China_TCO + China_UnitPrice*B22 + China_UnitPrice*D22 + China_CBAM*(E22-1) + China_UnitPrice*0.20*(C22/365) + China_Quality*(1-1)+Comparison!$D$8*0.5</f>
      </c>
      <c r="G22" s="65">
        <f>Turkey_TCO + Turkey_UnitPrice*0 + Turkey_CBAM*(E22-1)</f>
      </c>
      <c r="H22" s="65">
        <f>Poland_TCO</f>
      </c>
      <c r="I22" s="66">
        <f>INDEX({"China","Turkey","Poland"},MATCH(MIN(F22:H22),F22:H22,0))</f>
      </c>
      <c r="J22" s="67" t="s">
        <v>113</v>
      </c>
    </row>
    <row r="23" ht="22" customHeight="1" spans="1:10" x14ac:dyDescent="0.25">
      <c r="A23" s="7" t="s">
        <v>114</v>
      </c>
      <c r="B23" s="57">
        <v>0</v>
      </c>
      <c r="C23" s="58">
        <v>0</v>
      </c>
      <c r="D23" s="57">
        <v>0</v>
      </c>
      <c r="E23" s="59">
        <v>1</v>
      </c>
      <c r="F23" s="60">
        <f>China_TCO + China_UnitPrice*B23 + China_UnitPrice*D23 + China_CBAM*(E23-1) + China_UnitPrice*0.20*(C23/365) + China_Quality*(1.2-1)</f>
      </c>
      <c r="G23" s="60">
        <f>Turkey_TCO + Turkey_UnitPrice*0 + Turkey_CBAM*(E23-1)</f>
      </c>
      <c r="H23" s="60">
        <f>Poland_TCO</f>
      </c>
      <c r="I23" s="61">
        <f>INDEX({"China","Turkey","Poland"},MATCH(MIN(F23:H23),F23:H23,0))</f>
      </c>
      <c r="J23" s="53" t="s">
        <v>115</v>
      </c>
    </row>
    <row r="24" ht="22" customHeight="1" spans="1:10" x14ac:dyDescent="0.25">
      <c r="A24" s="11" t="s">
        <v>116</v>
      </c>
      <c r="B24" s="62">
        <v>0</v>
      </c>
      <c r="C24" s="63">
        <v>0</v>
      </c>
      <c r="D24" s="62">
        <v>0</v>
      </c>
      <c r="E24" s="64">
        <v>1</v>
      </c>
      <c r="F24" s="65">
        <f>China_TCO + China_UnitPrice*B24 + China_UnitPrice*D24 + China_CBAM*(E24-1) + China_UnitPrice*0.20*(C24/365) + China_Quality*(1.4-1)</f>
      </c>
      <c r="G24" s="65">
        <f>Turkey_TCO + Turkey_UnitPrice*0 + Turkey_CBAM*(E24-1)</f>
      </c>
      <c r="H24" s="65">
        <f>Poland_TCO</f>
      </c>
      <c r="I24" s="66">
        <f>INDEX({"China","Turkey","Poland"},MATCH(MIN(F24:H24),F24:H24,0))</f>
      </c>
      <c r="J24" s="67" t="s">
        <v>117</v>
      </c>
    </row>
    <row r="25" ht="22" customHeight="1" spans="1:10" x14ac:dyDescent="0.25">
      <c r="A25" s="7" t="s">
        <v>118</v>
      </c>
      <c r="B25" s="57">
        <v>0.1</v>
      </c>
      <c r="C25" s="58">
        <v>14</v>
      </c>
      <c r="D25" s="57">
        <v>0</v>
      </c>
      <c r="E25" s="59">
        <v>1.25</v>
      </c>
      <c r="F25" s="60">
        <f>China_TCO + China_UnitPrice*B25 + China_UnitPrice*D25 + China_CBAM*(E25-1) + China_UnitPrice*0.20*(C25/365) + China_Quality*(1-1)</f>
      </c>
      <c r="G25" s="60">
        <f>Turkey_TCO + Turkey_UnitPrice*0 + Turkey_CBAM*(E25-1)</f>
      </c>
      <c r="H25" s="60">
        <f>Poland_TCO</f>
      </c>
      <c r="I25" s="61">
        <f>INDEX({"China","Turkey","Poland"},MATCH(MIN(F25:H25),F25:H25,0))</f>
      </c>
      <c r="J25" s="53" t="s">
        <v>119</v>
      </c>
    </row>
    <row r="27" ht="22" customHeight="1" spans="1:10" x14ac:dyDescent="0.25">
      <c r="A27" s="56" t="s">
        <v>120</v>
      </c>
      <c r="B27" s="56"/>
      <c r="C27" s="56"/>
      <c r="D27" s="56"/>
      <c r="E27" s="56"/>
      <c r="F27" s="56"/>
      <c r="G27" s="56"/>
      <c r="H27" s="56"/>
      <c r="I27" s="56"/>
      <c r="J27" s="56"/>
    </row>
    <row r="28" ht="20" customHeight="1" spans="1:10" x14ac:dyDescent="0.25">
      <c r="A28" s="68" t="s">
        <v>121</v>
      </c>
      <c r="B28" s="68"/>
      <c r="C28" s="68"/>
      <c r="D28" s="68"/>
      <c r="E28" s="68"/>
      <c r="F28" s="68"/>
      <c r="G28" s="68"/>
      <c r="H28" s="68"/>
      <c r="I28" s="68"/>
      <c r="J28" s="68"/>
    </row>
    <row r="29" ht="20" customHeight="1" spans="1:10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</row>
    <row r="30" ht="20" customHeight="1" spans="1:10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</row>
    <row r="31" ht="20" customHeight="1" spans="1:10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</row>
  </sheetData>
  <mergeCells count="10">
    <mergeCell ref="A1:J1"/>
    <mergeCell ref="A2:J2"/>
    <mergeCell ref="C3:J3"/>
    <mergeCell ref="C4:J4"/>
    <mergeCell ref="C5:J5"/>
    <mergeCell ref="C6:J6"/>
    <mergeCell ref="C7:J7"/>
    <mergeCell ref="A9:J9"/>
    <mergeCell ref="A27:J27"/>
    <mergeCell ref="A28:J31"/>
  </mergeCells>
  <conditionalFormatting sqref="F13:H13">
    <cfRule type="cellIs" dxfId="3" priority="1" operator="equal">
      <formula>MIN($F$13:$H$13)</formula>
    </cfRule>
  </conditionalFormatting>
  <conditionalFormatting sqref="F14:H14">
    <cfRule type="cellIs" dxfId="4" priority="1" operator="equal">
      <formula>MIN($F$14:$H$14)</formula>
    </cfRule>
  </conditionalFormatting>
  <conditionalFormatting sqref="F15:H15">
    <cfRule type="cellIs" dxfId="5" priority="1" operator="equal">
      <formula>MIN($F$15:$H$15)</formula>
    </cfRule>
  </conditionalFormatting>
  <conditionalFormatting sqref="F16:H16">
    <cfRule type="cellIs" dxfId="6" priority="1" operator="equal">
      <formula>MIN($F$16:$H$16)</formula>
    </cfRule>
  </conditionalFormatting>
  <conditionalFormatting sqref="F17:H17">
    <cfRule type="cellIs" dxfId="7" priority="1" operator="equal">
      <formula>MIN($F$17:$H$17)</formula>
    </cfRule>
  </conditionalFormatting>
  <conditionalFormatting sqref="F18:H18">
    <cfRule type="cellIs" dxfId="8" priority="1" operator="equal">
      <formula>MIN($F$18:$H$18)</formula>
    </cfRule>
  </conditionalFormatting>
  <conditionalFormatting sqref="F19:H19">
    <cfRule type="cellIs" dxfId="9" priority="1" operator="equal">
      <formula>MIN($F$19:$H$19)</formula>
    </cfRule>
  </conditionalFormatting>
  <conditionalFormatting sqref="F20:H20">
    <cfRule type="cellIs" dxfId="10" priority="1" operator="equal">
      <formula>MIN($F$20:$H$20)</formula>
    </cfRule>
  </conditionalFormatting>
  <conditionalFormatting sqref="F21:H21">
    <cfRule type="cellIs" dxfId="11" priority="1" operator="equal">
      <formula>MIN($F$21:$H$21)</formula>
    </cfRule>
  </conditionalFormatting>
  <conditionalFormatting sqref="F22:H22">
    <cfRule type="cellIs" dxfId="12" priority="1" operator="equal">
      <formula>MIN($F$22:$H$22)</formula>
    </cfRule>
  </conditionalFormatting>
  <conditionalFormatting sqref="F23:H23">
    <cfRule type="cellIs" dxfId="13" priority="1" operator="equal">
      <formula>MIN($F$23:$H$23)</formula>
    </cfRule>
  </conditionalFormatting>
  <conditionalFormatting sqref="F24:H24">
    <cfRule type="cellIs" dxfId="14" priority="1" operator="equal">
      <formula>MIN($F$24:$H$24)</formula>
    </cfRule>
  </conditionalFormatting>
  <conditionalFormatting sqref="F25:H25">
    <cfRule type="cellIs" dxfId="15" priority="1" operator="equal">
      <formula>MIN($F$25:$H$25)</formula>
    </cfRule>
  </conditionalFormatting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Categories</vt:lpstr>
      <vt:lpstr>Comparison</vt:lpstr>
      <vt:lpstr>Sensitivity</vt:lpstr>
    </vt:vector>
  </TitlesOfParts>
  <Company>Procurea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Procurea</dc:creator>
  <dc:title>TCO Calculator — Beat the Lowest-Price Trap</dc:title>
  <dc:subject>Total Cost of Ownership Calculator</dc:subject>
  <dc:description/>
  <cp:keywords>TCO, procurement, total cost of ownership, supplier comparison</cp:keywords>
  <cp:category/>
  <cp:lastModifiedBy>Procurea</cp:lastModifiedBy>
  <dcterms:created xsi:type="dcterms:W3CDTF">2026-04-19T09:53:06Z</dcterms:created>
  <dcterms:modified xsi:type="dcterms:W3CDTF">2026-04-19T09:53:06Z</dcterms:modified>
</cp:coreProperties>
</file>